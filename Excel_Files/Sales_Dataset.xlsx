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riq Ismail\OneDrive\Documents\Ayesha\"/>
    </mc:Choice>
  </mc:AlternateContent>
  <xr:revisionPtr revIDLastSave="0" documentId="8_{F71CB53C-5A13-4213-BC3C-C00D6CE9E7DD}" xr6:coauthVersionLast="47" xr6:coauthVersionMax="47" xr10:uidLastSave="{00000000-0000-0000-0000-000000000000}"/>
  <bookViews>
    <workbookView xWindow="-108" yWindow="-108" windowWidth="23256" windowHeight="12456" xr2:uid="{0B848B54-3E1D-4ED2-BC62-9E9BE3EF4C0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5" i="1" l="1"/>
  <c r="Q455" i="1"/>
  <c r="P455" i="1"/>
  <c r="M455" i="1"/>
  <c r="L455" i="1"/>
  <c r="N455" i="1" s="1"/>
  <c r="O455" i="1" s="1"/>
  <c r="Q454" i="1"/>
  <c r="P454" i="1"/>
  <c r="M454" i="1"/>
  <c r="L454" i="1"/>
  <c r="R454" i="1" s="1"/>
  <c r="R453" i="1"/>
  <c r="Q453" i="1"/>
  <c r="P453" i="1"/>
  <c r="N453" i="1"/>
  <c r="O453" i="1" s="1"/>
  <c r="M453" i="1"/>
  <c r="L453" i="1"/>
  <c r="Q452" i="1"/>
  <c r="P452" i="1"/>
  <c r="N452" i="1"/>
  <c r="O452" i="1" s="1"/>
  <c r="M452" i="1"/>
  <c r="L452" i="1"/>
  <c r="R452" i="1" s="1"/>
  <c r="Q451" i="1"/>
  <c r="P451" i="1"/>
  <c r="M451" i="1"/>
  <c r="L451" i="1"/>
  <c r="N451" i="1" s="1"/>
  <c r="O451" i="1" s="1"/>
  <c r="Q450" i="1"/>
  <c r="P450" i="1"/>
  <c r="N450" i="1"/>
  <c r="O450" i="1" s="1"/>
  <c r="M450" i="1"/>
  <c r="L450" i="1"/>
  <c r="R450" i="1" s="1"/>
  <c r="Q449" i="1"/>
  <c r="P449" i="1"/>
  <c r="N449" i="1"/>
  <c r="O449" i="1" s="1"/>
  <c r="M449" i="1"/>
  <c r="L449" i="1"/>
  <c r="R449" i="1" s="1"/>
  <c r="Q448" i="1"/>
  <c r="P448" i="1"/>
  <c r="M448" i="1"/>
  <c r="L448" i="1"/>
  <c r="R448" i="1" s="1"/>
  <c r="Q447" i="1"/>
  <c r="P447" i="1"/>
  <c r="M447" i="1"/>
  <c r="L447" i="1"/>
  <c r="R447" i="1" s="1"/>
  <c r="Q446" i="1"/>
  <c r="P446" i="1"/>
  <c r="M446" i="1"/>
  <c r="L446" i="1"/>
  <c r="N446" i="1" s="1"/>
  <c r="O446" i="1" s="1"/>
  <c r="Q445" i="1"/>
  <c r="P445" i="1"/>
  <c r="M445" i="1"/>
  <c r="L445" i="1"/>
  <c r="R445" i="1" s="1"/>
  <c r="Q444" i="1"/>
  <c r="P444" i="1"/>
  <c r="M444" i="1"/>
  <c r="L444" i="1"/>
  <c r="N444" i="1" s="1"/>
  <c r="O444" i="1" s="1"/>
  <c r="Q443" i="1"/>
  <c r="P443" i="1"/>
  <c r="M443" i="1"/>
  <c r="L443" i="1"/>
  <c r="R443" i="1" s="1"/>
  <c r="Q442" i="1"/>
  <c r="P442" i="1"/>
  <c r="M442" i="1"/>
  <c r="L442" i="1"/>
  <c r="R442" i="1" s="1"/>
  <c r="R441" i="1"/>
  <c r="Q441" i="1"/>
  <c r="P441" i="1"/>
  <c r="M441" i="1"/>
  <c r="L441" i="1"/>
  <c r="N441" i="1" s="1"/>
  <c r="O441" i="1" s="1"/>
  <c r="R440" i="1"/>
  <c r="Q440" i="1"/>
  <c r="P440" i="1"/>
  <c r="M440" i="1"/>
  <c r="N440" i="1" s="1"/>
  <c r="O440" i="1" s="1"/>
  <c r="L440" i="1"/>
  <c r="R439" i="1"/>
  <c r="Q439" i="1"/>
  <c r="P439" i="1"/>
  <c r="N439" i="1"/>
  <c r="O439" i="1" s="1"/>
  <c r="M439" i="1"/>
  <c r="L439" i="1"/>
  <c r="R438" i="1"/>
  <c r="Q438" i="1"/>
  <c r="P438" i="1"/>
  <c r="M438" i="1"/>
  <c r="L438" i="1"/>
  <c r="N438" i="1" s="1"/>
  <c r="O438" i="1" s="1"/>
  <c r="Q437" i="1"/>
  <c r="P437" i="1"/>
  <c r="M437" i="1"/>
  <c r="L437" i="1"/>
  <c r="N437" i="1" s="1"/>
  <c r="O437" i="1" s="1"/>
  <c r="R436" i="1"/>
  <c r="Q436" i="1"/>
  <c r="P436" i="1"/>
  <c r="N436" i="1"/>
  <c r="O436" i="1" s="1"/>
  <c r="M436" i="1"/>
  <c r="L436" i="1"/>
  <c r="Q435" i="1"/>
  <c r="P435" i="1"/>
  <c r="N435" i="1"/>
  <c r="O435" i="1" s="1"/>
  <c r="M435" i="1"/>
  <c r="L435" i="1"/>
  <c r="R435" i="1" s="1"/>
  <c r="R434" i="1"/>
  <c r="Q434" i="1"/>
  <c r="P434" i="1"/>
  <c r="N434" i="1"/>
  <c r="O434" i="1" s="1"/>
  <c r="M434" i="1"/>
  <c r="L434" i="1"/>
  <c r="Q433" i="1"/>
  <c r="P433" i="1"/>
  <c r="M433" i="1"/>
  <c r="L433" i="1"/>
  <c r="R433" i="1" s="1"/>
  <c r="Q432" i="1"/>
  <c r="P432" i="1"/>
  <c r="M432" i="1"/>
  <c r="L432" i="1"/>
  <c r="R432" i="1" s="1"/>
  <c r="Q431" i="1"/>
  <c r="P431" i="1"/>
  <c r="M431" i="1"/>
  <c r="L431" i="1"/>
  <c r="R431" i="1" s="1"/>
  <c r="Q430" i="1"/>
  <c r="P430" i="1"/>
  <c r="M430" i="1"/>
  <c r="L430" i="1"/>
  <c r="N430" i="1" s="1"/>
  <c r="O430" i="1" s="1"/>
  <c r="Q429" i="1"/>
  <c r="P429" i="1"/>
  <c r="N429" i="1"/>
  <c r="O429" i="1" s="1"/>
  <c r="M429" i="1"/>
  <c r="L429" i="1"/>
  <c r="R429" i="1" s="1"/>
  <c r="Q428" i="1"/>
  <c r="P428" i="1"/>
  <c r="M428" i="1"/>
  <c r="L428" i="1"/>
  <c r="N428" i="1" s="1"/>
  <c r="O428" i="1" s="1"/>
  <c r="R427" i="1"/>
  <c r="Q427" i="1"/>
  <c r="P427" i="1"/>
  <c r="M427" i="1"/>
  <c r="L427" i="1"/>
  <c r="N427" i="1" s="1"/>
  <c r="O427" i="1" s="1"/>
  <c r="Q426" i="1"/>
  <c r="P426" i="1"/>
  <c r="M426" i="1"/>
  <c r="N426" i="1" s="1"/>
  <c r="O426" i="1" s="1"/>
  <c r="L426" i="1"/>
  <c r="R426" i="1" s="1"/>
  <c r="R425" i="1"/>
  <c r="Q425" i="1"/>
  <c r="P425" i="1"/>
  <c r="M425" i="1"/>
  <c r="L425" i="1"/>
  <c r="N425" i="1" s="1"/>
  <c r="O425" i="1" s="1"/>
  <c r="Q424" i="1"/>
  <c r="P424" i="1"/>
  <c r="M424" i="1"/>
  <c r="N424" i="1" s="1"/>
  <c r="O424" i="1" s="1"/>
  <c r="L424" i="1"/>
  <c r="R424" i="1" s="1"/>
  <c r="R423" i="1"/>
  <c r="Q423" i="1"/>
  <c r="P423" i="1"/>
  <c r="N423" i="1"/>
  <c r="O423" i="1" s="1"/>
  <c r="M423" i="1"/>
  <c r="L423" i="1"/>
  <c r="R422" i="1"/>
  <c r="Q422" i="1"/>
  <c r="P422" i="1"/>
  <c r="M422" i="1"/>
  <c r="L422" i="1"/>
  <c r="N422" i="1" s="1"/>
  <c r="O422" i="1" s="1"/>
  <c r="Q421" i="1"/>
  <c r="P421" i="1"/>
  <c r="M421" i="1"/>
  <c r="L421" i="1"/>
  <c r="N421" i="1" s="1"/>
  <c r="O421" i="1" s="1"/>
  <c r="R420" i="1"/>
  <c r="Q420" i="1"/>
  <c r="P420" i="1"/>
  <c r="M420" i="1"/>
  <c r="L420" i="1"/>
  <c r="N420" i="1" s="1"/>
  <c r="O420" i="1" s="1"/>
  <c r="Q419" i="1"/>
  <c r="P419" i="1"/>
  <c r="N419" i="1"/>
  <c r="O419" i="1" s="1"/>
  <c r="M419" i="1"/>
  <c r="L419" i="1"/>
  <c r="R419" i="1" s="1"/>
  <c r="R418" i="1"/>
  <c r="Q418" i="1"/>
  <c r="P418" i="1"/>
  <c r="N418" i="1"/>
  <c r="O418" i="1" s="1"/>
  <c r="M418" i="1"/>
  <c r="L418" i="1"/>
  <c r="Q417" i="1"/>
  <c r="P417" i="1"/>
  <c r="M417" i="1"/>
  <c r="L417" i="1"/>
  <c r="R417" i="1" s="1"/>
  <c r="Q416" i="1"/>
  <c r="P416" i="1"/>
  <c r="M416" i="1"/>
  <c r="L416" i="1"/>
  <c r="R416" i="1" s="1"/>
  <c r="Q415" i="1"/>
  <c r="P415" i="1"/>
  <c r="M415" i="1"/>
  <c r="L415" i="1"/>
  <c r="R415" i="1" s="1"/>
  <c r="Q414" i="1"/>
  <c r="P414" i="1"/>
  <c r="M414" i="1"/>
  <c r="L414" i="1"/>
  <c r="N414" i="1" s="1"/>
  <c r="O414" i="1" s="1"/>
  <c r="Q413" i="1"/>
  <c r="P413" i="1"/>
  <c r="N413" i="1"/>
  <c r="O413" i="1" s="1"/>
  <c r="M413" i="1"/>
  <c r="L413" i="1"/>
  <c r="R413" i="1" s="1"/>
  <c r="Q412" i="1"/>
  <c r="P412" i="1"/>
  <c r="M412" i="1"/>
  <c r="L412" i="1"/>
  <c r="N412" i="1" s="1"/>
  <c r="O412" i="1" s="1"/>
  <c r="R411" i="1"/>
  <c r="Q411" i="1"/>
  <c r="P411" i="1"/>
  <c r="M411" i="1"/>
  <c r="L411" i="1"/>
  <c r="N411" i="1" s="1"/>
  <c r="O411" i="1" s="1"/>
  <c r="R410" i="1"/>
  <c r="Q410" i="1"/>
  <c r="P410" i="1"/>
  <c r="M410" i="1"/>
  <c r="N410" i="1" s="1"/>
  <c r="O410" i="1" s="1"/>
  <c r="L410" i="1"/>
  <c r="R409" i="1"/>
  <c r="Q409" i="1"/>
  <c r="P409" i="1"/>
  <c r="M409" i="1"/>
  <c r="L409" i="1"/>
  <c r="N409" i="1" s="1"/>
  <c r="O409" i="1" s="1"/>
  <c r="Q408" i="1"/>
  <c r="P408" i="1"/>
  <c r="N408" i="1"/>
  <c r="O408" i="1" s="1"/>
  <c r="M408" i="1"/>
  <c r="L408" i="1"/>
  <c r="R408" i="1" s="1"/>
  <c r="R407" i="1"/>
  <c r="Q407" i="1"/>
  <c r="P407" i="1"/>
  <c r="N407" i="1"/>
  <c r="O407" i="1" s="1"/>
  <c r="M407" i="1"/>
  <c r="L407" i="1"/>
  <c r="R406" i="1"/>
  <c r="Q406" i="1"/>
  <c r="P406" i="1"/>
  <c r="M406" i="1"/>
  <c r="L406" i="1"/>
  <c r="N406" i="1" s="1"/>
  <c r="O406" i="1" s="1"/>
  <c r="Q405" i="1"/>
  <c r="P405" i="1"/>
  <c r="M405" i="1"/>
  <c r="L405" i="1"/>
  <c r="N405" i="1" s="1"/>
  <c r="O405" i="1" s="1"/>
  <c r="R404" i="1"/>
  <c r="Q404" i="1"/>
  <c r="P404" i="1"/>
  <c r="M404" i="1"/>
  <c r="L404" i="1"/>
  <c r="N404" i="1" s="1"/>
  <c r="O404" i="1" s="1"/>
  <c r="Q403" i="1"/>
  <c r="P403" i="1"/>
  <c r="N403" i="1"/>
  <c r="O403" i="1" s="1"/>
  <c r="M403" i="1"/>
  <c r="L403" i="1"/>
  <c r="R403" i="1" s="1"/>
  <c r="R402" i="1"/>
  <c r="Q402" i="1"/>
  <c r="P402" i="1"/>
  <c r="N402" i="1"/>
  <c r="O402" i="1" s="1"/>
  <c r="M402" i="1"/>
  <c r="L402" i="1"/>
  <c r="Q401" i="1"/>
  <c r="P401" i="1"/>
  <c r="M401" i="1"/>
  <c r="L401" i="1"/>
  <c r="R401" i="1" s="1"/>
  <c r="Q400" i="1"/>
  <c r="P400" i="1"/>
  <c r="M400" i="1"/>
  <c r="L400" i="1"/>
  <c r="R400" i="1" s="1"/>
  <c r="Q399" i="1"/>
  <c r="P399" i="1"/>
  <c r="M399" i="1"/>
  <c r="L399" i="1"/>
  <c r="R399" i="1" s="1"/>
  <c r="Q398" i="1"/>
  <c r="P398" i="1"/>
  <c r="M398" i="1"/>
  <c r="L398" i="1"/>
  <c r="N398" i="1" s="1"/>
  <c r="O398" i="1" s="1"/>
  <c r="Q397" i="1"/>
  <c r="P397" i="1"/>
  <c r="M397" i="1"/>
  <c r="N397" i="1" s="1"/>
  <c r="O397" i="1" s="1"/>
  <c r="L397" i="1"/>
  <c r="R397" i="1" s="1"/>
  <c r="Q396" i="1"/>
  <c r="P396" i="1"/>
  <c r="M396" i="1"/>
  <c r="L396" i="1"/>
  <c r="N396" i="1" s="1"/>
  <c r="O396" i="1" s="1"/>
  <c r="R395" i="1"/>
  <c r="Q395" i="1"/>
  <c r="P395" i="1"/>
  <c r="M395" i="1"/>
  <c r="L395" i="1"/>
  <c r="N395" i="1" s="1"/>
  <c r="O395" i="1" s="1"/>
  <c r="R394" i="1"/>
  <c r="Q394" i="1"/>
  <c r="P394" i="1"/>
  <c r="M394" i="1"/>
  <c r="N394" i="1" s="1"/>
  <c r="O394" i="1" s="1"/>
  <c r="L394" i="1"/>
  <c r="R393" i="1"/>
  <c r="Q393" i="1"/>
  <c r="P393" i="1"/>
  <c r="M393" i="1"/>
  <c r="L393" i="1"/>
  <c r="N393" i="1" s="1"/>
  <c r="O393" i="1" s="1"/>
  <c r="Q392" i="1"/>
  <c r="P392" i="1"/>
  <c r="N392" i="1"/>
  <c r="O392" i="1" s="1"/>
  <c r="M392" i="1"/>
  <c r="L392" i="1"/>
  <c r="R392" i="1" s="1"/>
  <c r="R391" i="1"/>
  <c r="Q391" i="1"/>
  <c r="P391" i="1"/>
  <c r="M391" i="1"/>
  <c r="N391" i="1" s="1"/>
  <c r="O391" i="1" s="1"/>
  <c r="L391" i="1"/>
  <c r="R390" i="1"/>
  <c r="Q390" i="1"/>
  <c r="P390" i="1"/>
  <c r="M390" i="1"/>
  <c r="L390" i="1"/>
  <c r="N390" i="1" s="1"/>
  <c r="O390" i="1" s="1"/>
  <c r="Q389" i="1"/>
  <c r="P389" i="1"/>
  <c r="M389" i="1"/>
  <c r="L389" i="1"/>
  <c r="N389" i="1" s="1"/>
  <c r="O389" i="1" s="1"/>
  <c r="R388" i="1"/>
  <c r="Q388" i="1"/>
  <c r="P388" i="1"/>
  <c r="M388" i="1"/>
  <c r="L388" i="1"/>
  <c r="N388" i="1" s="1"/>
  <c r="O388" i="1" s="1"/>
  <c r="Q387" i="1"/>
  <c r="P387" i="1"/>
  <c r="N387" i="1"/>
  <c r="O387" i="1" s="1"/>
  <c r="M387" i="1"/>
  <c r="L387" i="1"/>
  <c r="R387" i="1" s="1"/>
  <c r="R386" i="1"/>
  <c r="Q386" i="1"/>
  <c r="P386" i="1"/>
  <c r="N386" i="1"/>
  <c r="O386" i="1" s="1"/>
  <c r="M386" i="1"/>
  <c r="L386" i="1"/>
  <c r="Q385" i="1"/>
  <c r="P385" i="1"/>
  <c r="M385" i="1"/>
  <c r="L385" i="1"/>
  <c r="R385" i="1" s="1"/>
  <c r="Q384" i="1"/>
  <c r="P384" i="1"/>
  <c r="N384" i="1"/>
  <c r="O384" i="1" s="1"/>
  <c r="M384" i="1"/>
  <c r="L384" i="1"/>
  <c r="R384" i="1" s="1"/>
  <c r="Q383" i="1"/>
  <c r="P383" i="1"/>
  <c r="M383" i="1"/>
  <c r="L383" i="1"/>
  <c r="R383" i="1" s="1"/>
  <c r="Q382" i="1"/>
  <c r="P382" i="1"/>
  <c r="M382" i="1"/>
  <c r="L382" i="1"/>
  <c r="Q381" i="1"/>
  <c r="P381" i="1"/>
  <c r="M381" i="1"/>
  <c r="N381" i="1" s="1"/>
  <c r="O381" i="1" s="1"/>
  <c r="L381" i="1"/>
  <c r="R381" i="1" s="1"/>
  <c r="Q380" i="1"/>
  <c r="P380" i="1"/>
  <c r="M380" i="1"/>
  <c r="L380" i="1"/>
  <c r="N380" i="1" s="1"/>
  <c r="O380" i="1" s="1"/>
  <c r="R379" i="1"/>
  <c r="Q379" i="1"/>
  <c r="P379" i="1"/>
  <c r="M379" i="1"/>
  <c r="L379" i="1"/>
  <c r="N379" i="1" s="1"/>
  <c r="O379" i="1" s="1"/>
  <c r="R378" i="1"/>
  <c r="Q378" i="1"/>
  <c r="P378" i="1"/>
  <c r="N378" i="1"/>
  <c r="O378" i="1" s="1"/>
  <c r="M378" i="1"/>
  <c r="L378" i="1"/>
  <c r="R377" i="1"/>
  <c r="Q377" i="1"/>
  <c r="P377" i="1"/>
  <c r="O377" i="1"/>
  <c r="M377" i="1"/>
  <c r="L377" i="1"/>
  <c r="N377" i="1" s="1"/>
  <c r="Q376" i="1"/>
  <c r="P376" i="1"/>
  <c r="M376" i="1"/>
  <c r="L376" i="1"/>
  <c r="R375" i="1"/>
  <c r="Q375" i="1"/>
  <c r="P375" i="1"/>
  <c r="M375" i="1"/>
  <c r="N375" i="1" s="1"/>
  <c r="O375" i="1" s="1"/>
  <c r="L375" i="1"/>
  <c r="R374" i="1"/>
  <c r="Q374" i="1"/>
  <c r="P374" i="1"/>
  <c r="M374" i="1"/>
  <c r="L374" i="1"/>
  <c r="N374" i="1" s="1"/>
  <c r="O374" i="1" s="1"/>
  <c r="Q373" i="1"/>
  <c r="P373" i="1"/>
  <c r="M373" i="1"/>
  <c r="L373" i="1"/>
  <c r="N373" i="1" s="1"/>
  <c r="O373" i="1" s="1"/>
  <c r="R372" i="1"/>
  <c r="Q372" i="1"/>
  <c r="P372" i="1"/>
  <c r="M372" i="1"/>
  <c r="L372" i="1"/>
  <c r="N372" i="1" s="1"/>
  <c r="O372" i="1" s="1"/>
  <c r="R371" i="1"/>
  <c r="Q371" i="1"/>
  <c r="P371" i="1"/>
  <c r="O371" i="1"/>
  <c r="N371" i="1"/>
  <c r="M371" i="1"/>
  <c r="L371" i="1"/>
  <c r="R370" i="1"/>
  <c r="Q370" i="1"/>
  <c r="P370" i="1"/>
  <c r="N370" i="1"/>
  <c r="O370" i="1" s="1"/>
  <c r="M370" i="1"/>
  <c r="L370" i="1"/>
  <c r="Q369" i="1"/>
  <c r="P369" i="1"/>
  <c r="M369" i="1"/>
  <c r="L369" i="1"/>
  <c r="R369" i="1" s="1"/>
  <c r="Q368" i="1"/>
  <c r="P368" i="1"/>
  <c r="N368" i="1"/>
  <c r="O368" i="1" s="1"/>
  <c r="M368" i="1"/>
  <c r="L368" i="1"/>
  <c r="R368" i="1" s="1"/>
  <c r="Q367" i="1"/>
  <c r="P367" i="1"/>
  <c r="N367" i="1"/>
  <c r="O367" i="1" s="1"/>
  <c r="M367" i="1"/>
  <c r="L367" i="1"/>
  <c r="R367" i="1" s="1"/>
  <c r="R366" i="1"/>
  <c r="Q366" i="1"/>
  <c r="P366" i="1"/>
  <c r="M366" i="1"/>
  <c r="L366" i="1"/>
  <c r="N366" i="1" s="1"/>
  <c r="O366" i="1" s="1"/>
  <c r="Q365" i="1"/>
  <c r="P365" i="1"/>
  <c r="M365" i="1"/>
  <c r="L365" i="1"/>
  <c r="R365" i="1" s="1"/>
  <c r="R364" i="1"/>
  <c r="Q364" i="1"/>
  <c r="P364" i="1"/>
  <c r="N364" i="1"/>
  <c r="O364" i="1" s="1"/>
  <c r="M364" i="1"/>
  <c r="L364" i="1"/>
  <c r="R363" i="1"/>
  <c r="Q363" i="1"/>
  <c r="P363" i="1"/>
  <c r="N363" i="1"/>
  <c r="O363" i="1" s="1"/>
  <c r="M363" i="1"/>
  <c r="L363" i="1"/>
  <c r="Q362" i="1"/>
  <c r="P362" i="1"/>
  <c r="N362" i="1"/>
  <c r="O362" i="1" s="1"/>
  <c r="M362" i="1"/>
  <c r="L362" i="1"/>
  <c r="R362" i="1" s="1"/>
  <c r="Q361" i="1"/>
  <c r="P361" i="1"/>
  <c r="M361" i="1"/>
  <c r="L361" i="1"/>
  <c r="R361" i="1" s="1"/>
  <c r="Q360" i="1"/>
  <c r="P360" i="1"/>
  <c r="M360" i="1"/>
  <c r="L360" i="1"/>
  <c r="R359" i="1"/>
  <c r="Q359" i="1"/>
  <c r="P359" i="1"/>
  <c r="M359" i="1"/>
  <c r="N359" i="1" s="1"/>
  <c r="O359" i="1" s="1"/>
  <c r="L359" i="1"/>
  <c r="R358" i="1"/>
  <c r="Q358" i="1"/>
  <c r="P358" i="1"/>
  <c r="M358" i="1"/>
  <c r="L358" i="1"/>
  <c r="N358" i="1" s="1"/>
  <c r="O358" i="1" s="1"/>
  <c r="Q357" i="1"/>
  <c r="P357" i="1"/>
  <c r="M357" i="1"/>
  <c r="L357" i="1"/>
  <c r="N357" i="1" s="1"/>
  <c r="O357" i="1" s="1"/>
  <c r="R356" i="1"/>
  <c r="Q356" i="1"/>
  <c r="P356" i="1"/>
  <c r="M356" i="1"/>
  <c r="L356" i="1"/>
  <c r="N356" i="1" s="1"/>
  <c r="O356" i="1" s="1"/>
  <c r="R355" i="1"/>
  <c r="Q355" i="1"/>
  <c r="P355" i="1"/>
  <c r="M355" i="1"/>
  <c r="N355" i="1" s="1"/>
  <c r="O355" i="1" s="1"/>
  <c r="L355" i="1"/>
  <c r="R354" i="1"/>
  <c r="Q354" i="1"/>
  <c r="P354" i="1"/>
  <c r="M354" i="1"/>
  <c r="N354" i="1" s="1"/>
  <c r="O354" i="1" s="1"/>
  <c r="L354" i="1"/>
  <c r="Q353" i="1"/>
  <c r="P353" i="1"/>
  <c r="M353" i="1"/>
  <c r="L353" i="1"/>
  <c r="R353" i="1" s="1"/>
  <c r="R352" i="1"/>
  <c r="Q352" i="1"/>
  <c r="P352" i="1"/>
  <c r="N352" i="1"/>
  <c r="O352" i="1" s="1"/>
  <c r="M352" i="1"/>
  <c r="L352" i="1"/>
  <c r="R351" i="1"/>
  <c r="Q351" i="1"/>
  <c r="P351" i="1"/>
  <c r="N351" i="1"/>
  <c r="O351" i="1" s="1"/>
  <c r="M351" i="1"/>
  <c r="L351" i="1"/>
  <c r="R350" i="1"/>
  <c r="Q350" i="1"/>
  <c r="P350" i="1"/>
  <c r="M350" i="1"/>
  <c r="L350" i="1"/>
  <c r="N350" i="1" s="1"/>
  <c r="O350" i="1" s="1"/>
  <c r="Q349" i="1"/>
  <c r="P349" i="1"/>
  <c r="M349" i="1"/>
  <c r="L349" i="1"/>
  <c r="R349" i="1" s="1"/>
  <c r="R348" i="1"/>
  <c r="Q348" i="1"/>
  <c r="P348" i="1"/>
  <c r="N348" i="1"/>
  <c r="O348" i="1" s="1"/>
  <c r="M348" i="1"/>
  <c r="L348" i="1"/>
  <c r="R347" i="1"/>
  <c r="Q347" i="1"/>
  <c r="P347" i="1"/>
  <c r="N347" i="1"/>
  <c r="O347" i="1" s="1"/>
  <c r="M347" i="1"/>
  <c r="L347" i="1"/>
  <c r="Q346" i="1"/>
  <c r="P346" i="1"/>
  <c r="M346" i="1"/>
  <c r="L346" i="1"/>
  <c r="R346" i="1" s="1"/>
  <c r="Q345" i="1"/>
  <c r="P345" i="1"/>
  <c r="M345" i="1"/>
  <c r="L345" i="1"/>
  <c r="R345" i="1" s="1"/>
  <c r="Q344" i="1"/>
  <c r="P344" i="1"/>
  <c r="M344" i="1"/>
  <c r="L344" i="1"/>
  <c r="R343" i="1"/>
  <c r="Q343" i="1"/>
  <c r="P343" i="1"/>
  <c r="M343" i="1"/>
  <c r="N343" i="1" s="1"/>
  <c r="O343" i="1" s="1"/>
  <c r="L343" i="1"/>
  <c r="R342" i="1"/>
  <c r="Q342" i="1"/>
  <c r="P342" i="1"/>
  <c r="M342" i="1"/>
  <c r="L342" i="1"/>
  <c r="N342" i="1" s="1"/>
  <c r="O342" i="1" s="1"/>
  <c r="Q341" i="1"/>
  <c r="P341" i="1"/>
  <c r="O341" i="1"/>
  <c r="M341" i="1"/>
  <c r="L341" i="1"/>
  <c r="N341" i="1" s="1"/>
  <c r="R340" i="1"/>
  <c r="Q340" i="1"/>
  <c r="P340" i="1"/>
  <c r="M340" i="1"/>
  <c r="L340" i="1"/>
  <c r="N340" i="1" s="1"/>
  <c r="O340" i="1" s="1"/>
  <c r="R339" i="1"/>
  <c r="Q339" i="1"/>
  <c r="P339" i="1"/>
  <c r="M339" i="1"/>
  <c r="N339" i="1" s="1"/>
  <c r="O339" i="1" s="1"/>
  <c r="L339" i="1"/>
  <c r="R338" i="1"/>
  <c r="Q338" i="1"/>
  <c r="P338" i="1"/>
  <c r="M338" i="1"/>
  <c r="N338" i="1" s="1"/>
  <c r="O338" i="1" s="1"/>
  <c r="L338" i="1"/>
  <c r="Q337" i="1"/>
  <c r="P337" i="1"/>
  <c r="M337" i="1"/>
  <c r="L337" i="1"/>
  <c r="R337" i="1" s="1"/>
  <c r="R336" i="1"/>
  <c r="Q336" i="1"/>
  <c r="P336" i="1"/>
  <c r="N336" i="1"/>
  <c r="O336" i="1" s="1"/>
  <c r="M336" i="1"/>
  <c r="L336" i="1"/>
  <c r="R335" i="1"/>
  <c r="Q335" i="1"/>
  <c r="P335" i="1"/>
  <c r="N335" i="1"/>
  <c r="O335" i="1" s="1"/>
  <c r="M335" i="1"/>
  <c r="L335" i="1"/>
  <c r="Q334" i="1"/>
  <c r="P334" i="1"/>
  <c r="M334" i="1"/>
  <c r="L334" i="1"/>
  <c r="N334" i="1" s="1"/>
  <c r="O334" i="1" s="1"/>
  <c r="Q333" i="1"/>
  <c r="P333" i="1"/>
  <c r="M333" i="1"/>
  <c r="L333" i="1"/>
  <c r="R333" i="1" s="1"/>
  <c r="R332" i="1"/>
  <c r="Q332" i="1"/>
  <c r="P332" i="1"/>
  <c r="N332" i="1"/>
  <c r="O332" i="1" s="1"/>
  <c r="M332" i="1"/>
  <c r="L332" i="1"/>
  <c r="R331" i="1"/>
  <c r="Q331" i="1"/>
  <c r="P331" i="1"/>
  <c r="N331" i="1"/>
  <c r="O331" i="1" s="1"/>
  <c r="M331" i="1"/>
  <c r="L331" i="1"/>
  <c r="Q330" i="1"/>
  <c r="P330" i="1"/>
  <c r="N330" i="1"/>
  <c r="O330" i="1" s="1"/>
  <c r="M330" i="1"/>
  <c r="L330" i="1"/>
  <c r="R330" i="1" s="1"/>
  <c r="Q329" i="1"/>
  <c r="P329" i="1"/>
  <c r="M329" i="1"/>
  <c r="L329" i="1"/>
  <c r="R329" i="1" s="1"/>
  <c r="Q328" i="1"/>
  <c r="P328" i="1"/>
  <c r="M328" i="1"/>
  <c r="L328" i="1"/>
  <c r="R327" i="1"/>
  <c r="Q327" i="1"/>
  <c r="P327" i="1"/>
  <c r="M327" i="1"/>
  <c r="N327" i="1" s="1"/>
  <c r="O327" i="1" s="1"/>
  <c r="L327" i="1"/>
  <c r="R326" i="1"/>
  <c r="Q326" i="1"/>
  <c r="P326" i="1"/>
  <c r="M326" i="1"/>
  <c r="L326" i="1"/>
  <c r="N326" i="1" s="1"/>
  <c r="O326" i="1" s="1"/>
  <c r="Q325" i="1"/>
  <c r="P325" i="1"/>
  <c r="M325" i="1"/>
  <c r="L325" i="1"/>
  <c r="N325" i="1" s="1"/>
  <c r="O325" i="1" s="1"/>
  <c r="R324" i="1"/>
  <c r="Q324" i="1"/>
  <c r="P324" i="1"/>
  <c r="M324" i="1"/>
  <c r="L324" i="1"/>
  <c r="N324" i="1" s="1"/>
  <c r="O324" i="1" s="1"/>
  <c r="R323" i="1"/>
  <c r="Q323" i="1"/>
  <c r="P323" i="1"/>
  <c r="N323" i="1"/>
  <c r="O323" i="1" s="1"/>
  <c r="M323" i="1"/>
  <c r="L323" i="1"/>
  <c r="R322" i="1"/>
  <c r="Q322" i="1"/>
  <c r="P322" i="1"/>
  <c r="N322" i="1"/>
  <c r="O322" i="1" s="1"/>
  <c r="M322" i="1"/>
  <c r="L322" i="1"/>
  <c r="Q321" i="1"/>
  <c r="P321" i="1"/>
  <c r="M321" i="1"/>
  <c r="L321" i="1"/>
  <c r="R320" i="1"/>
  <c r="Q320" i="1"/>
  <c r="P320" i="1"/>
  <c r="N320" i="1"/>
  <c r="O320" i="1" s="1"/>
  <c r="M320" i="1"/>
  <c r="L320" i="1"/>
  <c r="R319" i="1"/>
  <c r="Q319" i="1"/>
  <c r="P319" i="1"/>
  <c r="N319" i="1"/>
  <c r="O319" i="1" s="1"/>
  <c r="M319" i="1"/>
  <c r="L319" i="1"/>
  <c r="R318" i="1"/>
  <c r="Q318" i="1"/>
  <c r="P318" i="1"/>
  <c r="M318" i="1"/>
  <c r="L318" i="1"/>
  <c r="N318" i="1" s="1"/>
  <c r="O318" i="1" s="1"/>
  <c r="Q317" i="1"/>
  <c r="P317" i="1"/>
  <c r="M317" i="1"/>
  <c r="L317" i="1"/>
  <c r="R317" i="1" s="1"/>
  <c r="R316" i="1"/>
  <c r="Q316" i="1"/>
  <c r="P316" i="1"/>
  <c r="O316" i="1"/>
  <c r="N316" i="1"/>
  <c r="M316" i="1"/>
  <c r="L316" i="1"/>
  <c r="R315" i="1"/>
  <c r="Q315" i="1"/>
  <c r="P315" i="1"/>
  <c r="N315" i="1"/>
  <c r="O315" i="1" s="1"/>
  <c r="M315" i="1"/>
  <c r="L315" i="1"/>
  <c r="Q314" i="1"/>
  <c r="P314" i="1"/>
  <c r="M314" i="1"/>
  <c r="L314" i="1"/>
  <c r="R314" i="1" s="1"/>
  <c r="Q313" i="1"/>
  <c r="P313" i="1"/>
  <c r="M313" i="1"/>
  <c r="L313" i="1"/>
  <c r="Q312" i="1"/>
  <c r="P312" i="1"/>
  <c r="M312" i="1"/>
  <c r="L312" i="1"/>
  <c r="R311" i="1"/>
  <c r="Q311" i="1"/>
  <c r="P311" i="1"/>
  <c r="M311" i="1"/>
  <c r="N311" i="1" s="1"/>
  <c r="O311" i="1" s="1"/>
  <c r="L311" i="1"/>
  <c r="R310" i="1"/>
  <c r="Q310" i="1"/>
  <c r="P310" i="1"/>
  <c r="M310" i="1"/>
  <c r="L310" i="1"/>
  <c r="N310" i="1" s="1"/>
  <c r="O310" i="1" s="1"/>
  <c r="Q309" i="1"/>
  <c r="P309" i="1"/>
  <c r="M309" i="1"/>
  <c r="L309" i="1"/>
  <c r="N309" i="1" s="1"/>
  <c r="O309" i="1" s="1"/>
  <c r="R308" i="1"/>
  <c r="Q308" i="1"/>
  <c r="P308" i="1"/>
  <c r="M308" i="1"/>
  <c r="L308" i="1"/>
  <c r="N308" i="1" s="1"/>
  <c r="O308" i="1" s="1"/>
  <c r="R307" i="1"/>
  <c r="Q307" i="1"/>
  <c r="P307" i="1"/>
  <c r="M307" i="1"/>
  <c r="N307" i="1" s="1"/>
  <c r="O307" i="1" s="1"/>
  <c r="L307" i="1"/>
  <c r="R306" i="1"/>
  <c r="Q306" i="1"/>
  <c r="P306" i="1"/>
  <c r="N306" i="1"/>
  <c r="O306" i="1" s="1"/>
  <c r="M306" i="1"/>
  <c r="L306" i="1"/>
  <c r="Q305" i="1"/>
  <c r="P305" i="1"/>
  <c r="M305" i="1"/>
  <c r="L305" i="1"/>
  <c r="Q304" i="1"/>
  <c r="P304" i="1"/>
  <c r="M304" i="1"/>
  <c r="L304" i="1"/>
  <c r="R304" i="1" s="1"/>
  <c r="R303" i="1"/>
  <c r="Q303" i="1"/>
  <c r="P303" i="1"/>
  <c r="N303" i="1"/>
  <c r="O303" i="1" s="1"/>
  <c r="M303" i="1"/>
  <c r="L303" i="1"/>
  <c r="Q302" i="1"/>
  <c r="P302" i="1"/>
  <c r="M302" i="1"/>
  <c r="L302" i="1"/>
  <c r="N302" i="1" s="1"/>
  <c r="O302" i="1" s="1"/>
  <c r="Q301" i="1"/>
  <c r="P301" i="1"/>
  <c r="M301" i="1"/>
  <c r="L301" i="1"/>
  <c r="R301" i="1" s="1"/>
  <c r="R300" i="1"/>
  <c r="Q300" i="1"/>
  <c r="P300" i="1"/>
  <c r="N300" i="1"/>
  <c r="O300" i="1" s="1"/>
  <c r="M300" i="1"/>
  <c r="L300" i="1"/>
  <c r="R299" i="1"/>
  <c r="Q299" i="1"/>
  <c r="P299" i="1"/>
  <c r="O299" i="1"/>
  <c r="N299" i="1"/>
  <c r="M299" i="1"/>
  <c r="L299" i="1"/>
  <c r="Q298" i="1"/>
  <c r="P298" i="1"/>
  <c r="M298" i="1"/>
  <c r="L298" i="1"/>
  <c r="R298" i="1" s="1"/>
  <c r="Q297" i="1"/>
  <c r="P297" i="1"/>
  <c r="M297" i="1"/>
  <c r="L297" i="1"/>
  <c r="Q296" i="1"/>
  <c r="P296" i="1"/>
  <c r="M296" i="1"/>
  <c r="L296" i="1"/>
  <c r="R295" i="1"/>
  <c r="Q295" i="1"/>
  <c r="P295" i="1"/>
  <c r="M295" i="1"/>
  <c r="N295" i="1" s="1"/>
  <c r="O295" i="1" s="1"/>
  <c r="L295" i="1"/>
  <c r="R294" i="1"/>
  <c r="Q294" i="1"/>
  <c r="P294" i="1"/>
  <c r="M294" i="1"/>
  <c r="L294" i="1"/>
  <c r="N294" i="1" s="1"/>
  <c r="O294" i="1" s="1"/>
  <c r="Q293" i="1"/>
  <c r="P293" i="1"/>
  <c r="M293" i="1"/>
  <c r="L293" i="1"/>
  <c r="R292" i="1"/>
  <c r="Q292" i="1"/>
  <c r="P292" i="1"/>
  <c r="M292" i="1"/>
  <c r="L292" i="1"/>
  <c r="N292" i="1" s="1"/>
  <c r="O292" i="1" s="1"/>
  <c r="R291" i="1"/>
  <c r="Q291" i="1"/>
  <c r="P291" i="1"/>
  <c r="N291" i="1"/>
  <c r="O291" i="1" s="1"/>
  <c r="M291" i="1"/>
  <c r="L291" i="1"/>
  <c r="R290" i="1"/>
  <c r="Q290" i="1"/>
  <c r="P290" i="1"/>
  <c r="M290" i="1"/>
  <c r="N290" i="1" s="1"/>
  <c r="O290" i="1" s="1"/>
  <c r="L290" i="1"/>
  <c r="Q289" i="1"/>
  <c r="P289" i="1"/>
  <c r="M289" i="1"/>
  <c r="L289" i="1"/>
  <c r="R288" i="1"/>
  <c r="Q288" i="1"/>
  <c r="P288" i="1"/>
  <c r="O288" i="1"/>
  <c r="N288" i="1"/>
  <c r="M288" i="1"/>
  <c r="L288" i="1"/>
  <c r="R287" i="1"/>
  <c r="Q287" i="1"/>
  <c r="P287" i="1"/>
  <c r="N287" i="1"/>
  <c r="O287" i="1" s="1"/>
  <c r="M287" i="1"/>
  <c r="L287" i="1"/>
  <c r="Q286" i="1"/>
  <c r="P286" i="1"/>
  <c r="M286" i="1"/>
  <c r="L286" i="1"/>
  <c r="N286" i="1" s="1"/>
  <c r="O286" i="1" s="1"/>
  <c r="Q285" i="1"/>
  <c r="P285" i="1"/>
  <c r="M285" i="1"/>
  <c r="L285" i="1"/>
  <c r="R285" i="1" s="1"/>
  <c r="R284" i="1"/>
  <c r="Q284" i="1"/>
  <c r="P284" i="1"/>
  <c r="N284" i="1"/>
  <c r="O284" i="1" s="1"/>
  <c r="M284" i="1"/>
  <c r="L284" i="1"/>
  <c r="R283" i="1"/>
  <c r="Q283" i="1"/>
  <c r="P283" i="1"/>
  <c r="N283" i="1"/>
  <c r="O283" i="1" s="1"/>
  <c r="M283" i="1"/>
  <c r="L283" i="1"/>
  <c r="Q282" i="1"/>
  <c r="P282" i="1"/>
  <c r="M282" i="1"/>
  <c r="L282" i="1"/>
  <c r="R282" i="1" s="1"/>
  <c r="Q281" i="1"/>
  <c r="P281" i="1"/>
  <c r="M281" i="1"/>
  <c r="L281" i="1"/>
  <c r="Q280" i="1"/>
  <c r="P280" i="1"/>
  <c r="M280" i="1"/>
  <c r="L280" i="1"/>
  <c r="R279" i="1"/>
  <c r="Q279" i="1"/>
  <c r="P279" i="1"/>
  <c r="N279" i="1"/>
  <c r="O279" i="1" s="1"/>
  <c r="M279" i="1"/>
  <c r="L279" i="1"/>
  <c r="R278" i="1"/>
  <c r="Q278" i="1"/>
  <c r="P278" i="1"/>
  <c r="M278" i="1"/>
  <c r="L278" i="1"/>
  <c r="N278" i="1" s="1"/>
  <c r="O278" i="1" s="1"/>
  <c r="Q277" i="1"/>
  <c r="P277" i="1"/>
  <c r="M277" i="1"/>
  <c r="L277" i="1"/>
  <c r="R276" i="1"/>
  <c r="Q276" i="1"/>
  <c r="P276" i="1"/>
  <c r="M276" i="1"/>
  <c r="L276" i="1"/>
  <c r="N276" i="1" s="1"/>
  <c r="O276" i="1" s="1"/>
  <c r="R275" i="1"/>
  <c r="Q275" i="1"/>
  <c r="P275" i="1"/>
  <c r="M275" i="1"/>
  <c r="N275" i="1" s="1"/>
  <c r="O275" i="1" s="1"/>
  <c r="L275" i="1"/>
  <c r="R274" i="1"/>
  <c r="Q274" i="1"/>
  <c r="P274" i="1"/>
  <c r="M274" i="1"/>
  <c r="N274" i="1" s="1"/>
  <c r="O274" i="1" s="1"/>
  <c r="L274" i="1"/>
  <c r="Q273" i="1"/>
  <c r="P273" i="1"/>
  <c r="M273" i="1"/>
  <c r="L273" i="1"/>
  <c r="Q272" i="1"/>
  <c r="P272" i="1"/>
  <c r="M272" i="1"/>
  <c r="L272" i="1"/>
  <c r="R272" i="1" s="1"/>
  <c r="R271" i="1"/>
  <c r="Q271" i="1"/>
  <c r="P271" i="1"/>
  <c r="N271" i="1"/>
  <c r="O271" i="1" s="1"/>
  <c r="M271" i="1"/>
  <c r="L271" i="1"/>
  <c r="Q270" i="1"/>
  <c r="P270" i="1"/>
  <c r="M270" i="1"/>
  <c r="L270" i="1"/>
  <c r="N270" i="1" s="1"/>
  <c r="O270" i="1" s="1"/>
  <c r="Q269" i="1"/>
  <c r="P269" i="1"/>
  <c r="M269" i="1"/>
  <c r="L269" i="1"/>
  <c r="R269" i="1" s="1"/>
  <c r="R268" i="1"/>
  <c r="Q268" i="1"/>
  <c r="P268" i="1"/>
  <c r="N268" i="1"/>
  <c r="O268" i="1" s="1"/>
  <c r="M268" i="1"/>
  <c r="L268" i="1"/>
  <c r="R267" i="1"/>
  <c r="Q267" i="1"/>
  <c r="P267" i="1"/>
  <c r="N267" i="1"/>
  <c r="O267" i="1" s="1"/>
  <c r="M267" i="1"/>
  <c r="L267" i="1"/>
  <c r="Q266" i="1"/>
  <c r="P266" i="1"/>
  <c r="M266" i="1"/>
  <c r="L266" i="1"/>
  <c r="R266" i="1" s="1"/>
  <c r="Q265" i="1"/>
  <c r="P265" i="1"/>
  <c r="M265" i="1"/>
  <c r="L265" i="1"/>
  <c r="Q264" i="1"/>
  <c r="P264" i="1"/>
  <c r="M264" i="1"/>
  <c r="L264" i="1"/>
  <c r="R263" i="1"/>
  <c r="Q263" i="1"/>
  <c r="P263" i="1"/>
  <c r="M263" i="1"/>
  <c r="N263" i="1" s="1"/>
  <c r="O263" i="1" s="1"/>
  <c r="L263" i="1"/>
  <c r="R262" i="1"/>
  <c r="Q262" i="1"/>
  <c r="P262" i="1"/>
  <c r="M262" i="1"/>
  <c r="L262" i="1"/>
  <c r="N262" i="1" s="1"/>
  <c r="O262" i="1" s="1"/>
  <c r="Q261" i="1"/>
  <c r="P261" i="1"/>
  <c r="M261" i="1"/>
  <c r="L261" i="1"/>
  <c r="R260" i="1"/>
  <c r="Q260" i="1"/>
  <c r="P260" i="1"/>
  <c r="M260" i="1"/>
  <c r="L260" i="1"/>
  <c r="N260" i="1" s="1"/>
  <c r="O260" i="1" s="1"/>
  <c r="R259" i="1"/>
  <c r="Q259" i="1"/>
  <c r="P259" i="1"/>
  <c r="N259" i="1"/>
  <c r="O259" i="1" s="1"/>
  <c r="M259" i="1"/>
  <c r="L259" i="1"/>
  <c r="R258" i="1"/>
  <c r="Q258" i="1"/>
  <c r="P258" i="1"/>
  <c r="M258" i="1"/>
  <c r="N258" i="1" s="1"/>
  <c r="O258" i="1" s="1"/>
  <c r="L258" i="1"/>
  <c r="Q257" i="1"/>
  <c r="P257" i="1"/>
  <c r="M257" i="1"/>
  <c r="L257" i="1"/>
  <c r="Q256" i="1"/>
  <c r="P256" i="1"/>
  <c r="M256" i="1"/>
  <c r="L256" i="1"/>
  <c r="R256" i="1" s="1"/>
  <c r="R255" i="1"/>
  <c r="Q255" i="1"/>
  <c r="P255" i="1"/>
  <c r="N255" i="1"/>
  <c r="O255" i="1" s="1"/>
  <c r="M255" i="1"/>
  <c r="L255" i="1"/>
  <c r="R254" i="1"/>
  <c r="Q254" i="1"/>
  <c r="P254" i="1"/>
  <c r="M254" i="1"/>
  <c r="L254" i="1"/>
  <c r="N254" i="1" s="1"/>
  <c r="O254" i="1" s="1"/>
  <c r="Q253" i="1"/>
  <c r="P253" i="1"/>
  <c r="M253" i="1"/>
  <c r="L253" i="1"/>
  <c r="R253" i="1" s="1"/>
  <c r="R252" i="1"/>
  <c r="Q252" i="1"/>
  <c r="P252" i="1"/>
  <c r="N252" i="1"/>
  <c r="O252" i="1" s="1"/>
  <c r="M252" i="1"/>
  <c r="L252" i="1"/>
  <c r="R251" i="1"/>
  <c r="Q251" i="1"/>
  <c r="P251" i="1"/>
  <c r="N251" i="1"/>
  <c r="O251" i="1" s="1"/>
  <c r="M251" i="1"/>
  <c r="L251" i="1"/>
  <c r="Q250" i="1"/>
  <c r="P250" i="1"/>
  <c r="N250" i="1"/>
  <c r="O250" i="1" s="1"/>
  <c r="M250" i="1"/>
  <c r="L250" i="1"/>
  <c r="R250" i="1" s="1"/>
  <c r="Q249" i="1"/>
  <c r="P249" i="1"/>
  <c r="M249" i="1"/>
  <c r="L249" i="1"/>
  <c r="Q248" i="1"/>
  <c r="P248" i="1"/>
  <c r="M248" i="1"/>
  <c r="L248" i="1"/>
  <c r="R247" i="1"/>
  <c r="Q247" i="1"/>
  <c r="P247" i="1"/>
  <c r="N247" i="1"/>
  <c r="O247" i="1" s="1"/>
  <c r="M247" i="1"/>
  <c r="L247" i="1"/>
  <c r="R246" i="1"/>
  <c r="Q246" i="1"/>
  <c r="P246" i="1"/>
  <c r="M246" i="1"/>
  <c r="L246" i="1"/>
  <c r="N246" i="1" s="1"/>
  <c r="O246" i="1" s="1"/>
  <c r="Q245" i="1"/>
  <c r="P245" i="1"/>
  <c r="M245" i="1"/>
  <c r="L245" i="1"/>
  <c r="R244" i="1"/>
  <c r="Q244" i="1"/>
  <c r="P244" i="1"/>
  <c r="O244" i="1"/>
  <c r="M244" i="1"/>
  <c r="L244" i="1"/>
  <c r="N244" i="1" s="1"/>
  <c r="R243" i="1"/>
  <c r="Q243" i="1"/>
  <c r="P243" i="1"/>
  <c r="M243" i="1"/>
  <c r="N243" i="1" s="1"/>
  <c r="O243" i="1" s="1"/>
  <c r="L243" i="1"/>
  <c r="R242" i="1"/>
  <c r="Q242" i="1"/>
  <c r="P242" i="1"/>
  <c r="M242" i="1"/>
  <c r="N242" i="1" s="1"/>
  <c r="O242" i="1" s="1"/>
  <c r="L242" i="1"/>
  <c r="Q241" i="1"/>
  <c r="P241" i="1"/>
  <c r="M241" i="1"/>
  <c r="L241" i="1"/>
  <c r="Q240" i="1"/>
  <c r="P240" i="1"/>
  <c r="M240" i="1"/>
  <c r="L240" i="1"/>
  <c r="N240" i="1" s="1"/>
  <c r="O240" i="1" s="1"/>
  <c r="R239" i="1"/>
  <c r="Q239" i="1"/>
  <c r="P239" i="1"/>
  <c r="N239" i="1"/>
  <c r="O239" i="1" s="1"/>
  <c r="M239" i="1"/>
  <c r="L239" i="1"/>
  <c r="R238" i="1"/>
  <c r="Q238" i="1"/>
  <c r="P238" i="1"/>
  <c r="M238" i="1"/>
  <c r="L238" i="1"/>
  <c r="N238" i="1" s="1"/>
  <c r="O238" i="1" s="1"/>
  <c r="Q237" i="1"/>
  <c r="P237" i="1"/>
  <c r="M237" i="1"/>
  <c r="L237" i="1"/>
  <c r="R236" i="1"/>
  <c r="Q236" i="1"/>
  <c r="P236" i="1"/>
  <c r="N236" i="1"/>
  <c r="O236" i="1" s="1"/>
  <c r="M236" i="1"/>
  <c r="L236" i="1"/>
  <c r="R235" i="1"/>
  <c r="Q235" i="1"/>
  <c r="P235" i="1"/>
  <c r="N235" i="1"/>
  <c r="O235" i="1" s="1"/>
  <c r="M235" i="1"/>
  <c r="L235" i="1"/>
  <c r="Q234" i="1"/>
  <c r="P234" i="1"/>
  <c r="N234" i="1"/>
  <c r="O234" i="1" s="1"/>
  <c r="M234" i="1"/>
  <c r="L234" i="1"/>
  <c r="R234" i="1" s="1"/>
  <c r="Q233" i="1"/>
  <c r="P233" i="1"/>
  <c r="M233" i="1"/>
  <c r="L233" i="1"/>
  <c r="Q232" i="1"/>
  <c r="P232" i="1"/>
  <c r="M232" i="1"/>
  <c r="L232" i="1"/>
  <c r="R231" i="1"/>
  <c r="Q231" i="1"/>
  <c r="P231" i="1"/>
  <c r="N231" i="1"/>
  <c r="O231" i="1" s="1"/>
  <c r="M231" i="1"/>
  <c r="L231" i="1"/>
  <c r="R230" i="1"/>
  <c r="Q230" i="1"/>
  <c r="P230" i="1"/>
  <c r="M230" i="1"/>
  <c r="L230" i="1"/>
  <c r="Q229" i="1"/>
  <c r="P229" i="1"/>
  <c r="M229" i="1"/>
  <c r="L229" i="1"/>
  <c r="R228" i="1"/>
  <c r="Q228" i="1"/>
  <c r="P228" i="1"/>
  <c r="O228" i="1"/>
  <c r="M228" i="1"/>
  <c r="L228" i="1"/>
  <c r="N228" i="1" s="1"/>
  <c r="R227" i="1"/>
  <c r="Q227" i="1"/>
  <c r="P227" i="1"/>
  <c r="N227" i="1"/>
  <c r="O227" i="1" s="1"/>
  <c r="M227" i="1"/>
  <c r="L227" i="1"/>
  <c r="R226" i="1"/>
  <c r="Q226" i="1"/>
  <c r="P226" i="1"/>
  <c r="M226" i="1"/>
  <c r="N226" i="1" s="1"/>
  <c r="O226" i="1" s="1"/>
  <c r="L226" i="1"/>
  <c r="Q225" i="1"/>
  <c r="P225" i="1"/>
  <c r="M225" i="1"/>
  <c r="L225" i="1"/>
  <c r="R224" i="1"/>
  <c r="Q224" i="1"/>
  <c r="P224" i="1"/>
  <c r="M224" i="1"/>
  <c r="L224" i="1"/>
  <c r="N224" i="1" s="1"/>
  <c r="O224" i="1" s="1"/>
  <c r="R223" i="1"/>
  <c r="Q223" i="1"/>
  <c r="P223" i="1"/>
  <c r="N223" i="1"/>
  <c r="O223" i="1" s="1"/>
  <c r="M223" i="1"/>
  <c r="L223" i="1"/>
  <c r="R222" i="1"/>
  <c r="Q222" i="1"/>
  <c r="P222" i="1"/>
  <c r="M222" i="1"/>
  <c r="L222" i="1"/>
  <c r="Q221" i="1"/>
  <c r="P221" i="1"/>
  <c r="M221" i="1"/>
  <c r="L221" i="1"/>
  <c r="Q220" i="1"/>
  <c r="P220" i="1"/>
  <c r="N220" i="1"/>
  <c r="O220" i="1" s="1"/>
  <c r="M220" i="1"/>
  <c r="L220" i="1"/>
  <c r="R220" i="1" s="1"/>
  <c r="R219" i="1"/>
  <c r="Q219" i="1"/>
  <c r="P219" i="1"/>
  <c r="N219" i="1"/>
  <c r="O219" i="1" s="1"/>
  <c r="M219" i="1"/>
  <c r="L219" i="1"/>
  <c r="Q218" i="1"/>
  <c r="P218" i="1"/>
  <c r="N218" i="1"/>
  <c r="O218" i="1" s="1"/>
  <c r="M218" i="1"/>
  <c r="L218" i="1"/>
  <c r="R218" i="1" s="1"/>
  <c r="Q217" i="1"/>
  <c r="P217" i="1"/>
  <c r="M217" i="1"/>
  <c r="L217" i="1"/>
  <c r="Q216" i="1"/>
  <c r="P216" i="1"/>
  <c r="M216" i="1"/>
  <c r="L216" i="1"/>
  <c r="R215" i="1"/>
  <c r="Q215" i="1"/>
  <c r="P215" i="1"/>
  <c r="N215" i="1"/>
  <c r="O215" i="1" s="1"/>
  <c r="M215" i="1"/>
  <c r="L215" i="1"/>
  <c r="R214" i="1"/>
  <c r="Q214" i="1"/>
  <c r="P214" i="1"/>
  <c r="M214" i="1"/>
  <c r="L214" i="1"/>
  <c r="N214" i="1" s="1"/>
  <c r="O214" i="1" s="1"/>
  <c r="Q213" i="1"/>
  <c r="P213" i="1"/>
  <c r="M213" i="1"/>
  <c r="L213" i="1"/>
  <c r="R212" i="1"/>
  <c r="Q212" i="1"/>
  <c r="P212" i="1"/>
  <c r="O212" i="1"/>
  <c r="M212" i="1"/>
  <c r="L212" i="1"/>
  <c r="N212" i="1" s="1"/>
  <c r="R211" i="1"/>
  <c r="Q211" i="1"/>
  <c r="P211" i="1"/>
  <c r="N211" i="1"/>
  <c r="O211" i="1" s="1"/>
  <c r="M211" i="1"/>
  <c r="L211" i="1"/>
  <c r="R210" i="1"/>
  <c r="Q210" i="1"/>
  <c r="P210" i="1"/>
  <c r="M210" i="1"/>
  <c r="N210" i="1" s="1"/>
  <c r="O210" i="1" s="1"/>
  <c r="L210" i="1"/>
  <c r="Q209" i="1"/>
  <c r="P209" i="1"/>
  <c r="M209" i="1"/>
  <c r="L209" i="1"/>
  <c r="R208" i="1"/>
  <c r="Q208" i="1"/>
  <c r="P208" i="1"/>
  <c r="O208" i="1"/>
  <c r="N208" i="1"/>
  <c r="M208" i="1"/>
  <c r="L208" i="1"/>
  <c r="R207" i="1"/>
  <c r="Q207" i="1"/>
  <c r="P207" i="1"/>
  <c r="N207" i="1"/>
  <c r="O207" i="1" s="1"/>
  <c r="M207" i="1"/>
  <c r="L207" i="1"/>
  <c r="Q206" i="1"/>
  <c r="P206" i="1"/>
  <c r="M206" i="1"/>
  <c r="L206" i="1"/>
  <c r="N206" i="1" s="1"/>
  <c r="O206" i="1" s="1"/>
  <c r="Q205" i="1"/>
  <c r="P205" i="1"/>
  <c r="M205" i="1"/>
  <c r="L205" i="1"/>
  <c r="Q204" i="1"/>
  <c r="P204" i="1"/>
  <c r="N204" i="1"/>
  <c r="O204" i="1" s="1"/>
  <c r="M204" i="1"/>
  <c r="L204" i="1"/>
  <c r="R204" i="1" s="1"/>
  <c r="R203" i="1"/>
  <c r="Q203" i="1"/>
  <c r="P203" i="1"/>
  <c r="N203" i="1"/>
  <c r="O203" i="1" s="1"/>
  <c r="M203" i="1"/>
  <c r="L203" i="1"/>
  <c r="Q202" i="1"/>
  <c r="P202" i="1"/>
  <c r="N202" i="1"/>
  <c r="O202" i="1" s="1"/>
  <c r="M202" i="1"/>
  <c r="L202" i="1"/>
  <c r="R202" i="1" s="1"/>
  <c r="Q201" i="1"/>
  <c r="P201" i="1"/>
  <c r="M201" i="1"/>
  <c r="L201" i="1"/>
  <c r="Q200" i="1"/>
  <c r="P200" i="1"/>
  <c r="M200" i="1"/>
  <c r="L200" i="1"/>
  <c r="R199" i="1"/>
  <c r="Q199" i="1"/>
  <c r="P199" i="1"/>
  <c r="M199" i="1"/>
  <c r="N199" i="1" s="1"/>
  <c r="O199" i="1" s="1"/>
  <c r="L199" i="1"/>
  <c r="R198" i="1"/>
  <c r="Q198" i="1"/>
  <c r="P198" i="1"/>
  <c r="M198" i="1"/>
  <c r="L198" i="1"/>
  <c r="Q197" i="1"/>
  <c r="P197" i="1"/>
  <c r="M197" i="1"/>
  <c r="L197" i="1"/>
  <c r="R196" i="1"/>
  <c r="Q196" i="1"/>
  <c r="P196" i="1"/>
  <c r="M196" i="1"/>
  <c r="L196" i="1"/>
  <c r="N196" i="1" s="1"/>
  <c r="O196" i="1" s="1"/>
  <c r="R195" i="1"/>
  <c r="Q195" i="1"/>
  <c r="P195" i="1"/>
  <c r="M195" i="1"/>
  <c r="N195" i="1" s="1"/>
  <c r="O195" i="1" s="1"/>
  <c r="L195" i="1"/>
  <c r="R194" i="1"/>
  <c r="Q194" i="1"/>
  <c r="P194" i="1"/>
  <c r="N194" i="1"/>
  <c r="O194" i="1" s="1"/>
  <c r="M194" i="1"/>
  <c r="L194" i="1"/>
  <c r="Q193" i="1"/>
  <c r="P193" i="1"/>
  <c r="M193" i="1"/>
  <c r="L193" i="1"/>
  <c r="Q192" i="1"/>
  <c r="P192" i="1"/>
  <c r="M192" i="1"/>
  <c r="L192" i="1"/>
  <c r="R192" i="1" s="1"/>
  <c r="R191" i="1"/>
  <c r="Q191" i="1"/>
  <c r="P191" i="1"/>
  <c r="N191" i="1"/>
  <c r="O191" i="1" s="1"/>
  <c r="M191" i="1"/>
  <c r="L191" i="1"/>
  <c r="R190" i="1"/>
  <c r="Q190" i="1"/>
  <c r="P190" i="1"/>
  <c r="N190" i="1"/>
  <c r="O190" i="1" s="1"/>
  <c r="M190" i="1"/>
  <c r="L190" i="1"/>
  <c r="Q189" i="1"/>
  <c r="P189" i="1"/>
  <c r="M189" i="1"/>
  <c r="L189" i="1"/>
  <c r="Q188" i="1"/>
  <c r="P188" i="1"/>
  <c r="O188" i="1"/>
  <c r="N188" i="1"/>
  <c r="M188" i="1"/>
  <c r="L188" i="1"/>
  <c r="R188" i="1" s="1"/>
  <c r="R187" i="1"/>
  <c r="Q187" i="1"/>
  <c r="P187" i="1"/>
  <c r="O187" i="1"/>
  <c r="N187" i="1"/>
  <c r="M187" i="1"/>
  <c r="L187" i="1"/>
  <c r="Q186" i="1"/>
  <c r="P186" i="1"/>
  <c r="M186" i="1"/>
  <c r="L186" i="1"/>
  <c r="R186" i="1" s="1"/>
  <c r="Q185" i="1"/>
  <c r="P185" i="1"/>
  <c r="M185" i="1"/>
  <c r="L185" i="1"/>
  <c r="Q184" i="1"/>
  <c r="P184" i="1"/>
  <c r="M184" i="1"/>
  <c r="L184" i="1"/>
  <c r="R184" i="1" s="1"/>
  <c r="R183" i="1"/>
  <c r="Q183" i="1"/>
  <c r="P183" i="1"/>
  <c r="M183" i="1"/>
  <c r="N183" i="1" s="1"/>
  <c r="O183" i="1" s="1"/>
  <c r="L183" i="1"/>
  <c r="R182" i="1"/>
  <c r="Q182" i="1"/>
  <c r="P182" i="1"/>
  <c r="M182" i="1"/>
  <c r="L182" i="1"/>
  <c r="N182" i="1" s="1"/>
  <c r="O182" i="1" s="1"/>
  <c r="Q181" i="1"/>
  <c r="P181" i="1"/>
  <c r="M181" i="1"/>
  <c r="L181" i="1"/>
  <c r="R180" i="1"/>
  <c r="Q180" i="1"/>
  <c r="P180" i="1"/>
  <c r="O180" i="1"/>
  <c r="M180" i="1"/>
  <c r="L180" i="1"/>
  <c r="N180" i="1" s="1"/>
  <c r="R179" i="1"/>
  <c r="Q179" i="1"/>
  <c r="P179" i="1"/>
  <c r="O179" i="1"/>
  <c r="N179" i="1"/>
  <c r="M179" i="1"/>
  <c r="L179" i="1"/>
  <c r="R178" i="1"/>
  <c r="Q178" i="1"/>
  <c r="P178" i="1"/>
  <c r="M178" i="1"/>
  <c r="N178" i="1" s="1"/>
  <c r="O178" i="1" s="1"/>
  <c r="L178" i="1"/>
  <c r="Q177" i="1"/>
  <c r="P177" i="1"/>
  <c r="M177" i="1"/>
  <c r="L177" i="1"/>
  <c r="Q176" i="1"/>
  <c r="P176" i="1"/>
  <c r="N176" i="1"/>
  <c r="O176" i="1" s="1"/>
  <c r="M176" i="1"/>
  <c r="L176" i="1"/>
  <c r="R176" i="1" s="1"/>
  <c r="R175" i="1"/>
  <c r="Q175" i="1"/>
  <c r="P175" i="1"/>
  <c r="N175" i="1"/>
  <c r="O175" i="1" s="1"/>
  <c r="M175" i="1"/>
  <c r="L175" i="1"/>
  <c r="Q174" i="1"/>
  <c r="P174" i="1"/>
  <c r="M174" i="1"/>
  <c r="N174" i="1" s="1"/>
  <c r="O174" i="1" s="1"/>
  <c r="L174" i="1"/>
  <c r="R174" i="1" s="1"/>
  <c r="Q173" i="1"/>
  <c r="P173" i="1"/>
  <c r="M173" i="1"/>
  <c r="L173" i="1"/>
  <c r="R172" i="1"/>
  <c r="Q172" i="1"/>
  <c r="P172" i="1"/>
  <c r="O172" i="1"/>
  <c r="N172" i="1"/>
  <c r="M172" i="1"/>
  <c r="L172" i="1"/>
  <c r="R171" i="1"/>
  <c r="Q171" i="1"/>
  <c r="P171" i="1"/>
  <c r="O171" i="1"/>
  <c r="N171" i="1"/>
  <c r="M171" i="1"/>
  <c r="L171" i="1"/>
  <c r="Q170" i="1"/>
  <c r="P170" i="1"/>
  <c r="M170" i="1"/>
  <c r="L170" i="1"/>
  <c r="N170" i="1" s="1"/>
  <c r="O170" i="1" s="1"/>
  <c r="Q169" i="1"/>
  <c r="P169" i="1"/>
  <c r="M169" i="1"/>
  <c r="L169" i="1"/>
  <c r="Q168" i="1"/>
  <c r="P168" i="1"/>
  <c r="N168" i="1"/>
  <c r="O168" i="1" s="1"/>
  <c r="M168" i="1"/>
  <c r="L168" i="1"/>
  <c r="R168" i="1" s="1"/>
  <c r="R167" i="1"/>
  <c r="Q167" i="1"/>
  <c r="P167" i="1"/>
  <c r="N167" i="1"/>
  <c r="O167" i="1" s="1"/>
  <c r="M167" i="1"/>
  <c r="L167" i="1"/>
  <c r="Q166" i="1"/>
  <c r="P166" i="1"/>
  <c r="M166" i="1"/>
  <c r="N166" i="1" s="1"/>
  <c r="O166" i="1" s="1"/>
  <c r="L166" i="1"/>
  <c r="R166" i="1" s="1"/>
  <c r="Q165" i="1"/>
  <c r="P165" i="1"/>
  <c r="M165" i="1"/>
  <c r="L165" i="1"/>
  <c r="R164" i="1"/>
  <c r="Q164" i="1"/>
  <c r="P164" i="1"/>
  <c r="O164" i="1"/>
  <c r="M164" i="1"/>
  <c r="L164" i="1"/>
  <c r="N164" i="1" s="1"/>
  <c r="R163" i="1"/>
  <c r="Q163" i="1"/>
  <c r="P163" i="1"/>
  <c r="M163" i="1"/>
  <c r="N163" i="1" s="1"/>
  <c r="O163" i="1" s="1"/>
  <c r="L163" i="1"/>
  <c r="R162" i="1"/>
  <c r="Q162" i="1"/>
  <c r="P162" i="1"/>
  <c r="M162" i="1"/>
  <c r="N162" i="1" s="1"/>
  <c r="O162" i="1" s="1"/>
  <c r="L162" i="1"/>
  <c r="Q161" i="1"/>
  <c r="P161" i="1"/>
  <c r="M161" i="1"/>
  <c r="L161" i="1"/>
  <c r="R161" i="1" s="1"/>
  <c r="Q160" i="1"/>
  <c r="P160" i="1"/>
  <c r="M160" i="1"/>
  <c r="L160" i="1"/>
  <c r="R160" i="1" s="1"/>
  <c r="R159" i="1"/>
  <c r="Q159" i="1"/>
  <c r="P159" i="1"/>
  <c r="N159" i="1"/>
  <c r="O159" i="1" s="1"/>
  <c r="M159" i="1"/>
  <c r="L159" i="1"/>
  <c r="Q158" i="1"/>
  <c r="P158" i="1"/>
  <c r="N158" i="1"/>
  <c r="O158" i="1" s="1"/>
  <c r="M158" i="1"/>
  <c r="L158" i="1"/>
  <c r="R158" i="1" s="1"/>
  <c r="Q157" i="1"/>
  <c r="P157" i="1"/>
  <c r="M157" i="1"/>
  <c r="L157" i="1"/>
  <c r="R156" i="1"/>
  <c r="Q156" i="1"/>
  <c r="P156" i="1"/>
  <c r="M156" i="1"/>
  <c r="L156" i="1"/>
  <c r="N156" i="1" s="1"/>
  <c r="O156" i="1" s="1"/>
  <c r="R155" i="1"/>
  <c r="Q155" i="1"/>
  <c r="P155" i="1"/>
  <c r="N155" i="1"/>
  <c r="O155" i="1" s="1"/>
  <c r="M155" i="1"/>
  <c r="L155" i="1"/>
  <c r="R154" i="1"/>
  <c r="Q154" i="1"/>
  <c r="P154" i="1"/>
  <c r="N154" i="1"/>
  <c r="O154" i="1" s="1"/>
  <c r="M154" i="1"/>
  <c r="L154" i="1"/>
  <c r="Q153" i="1"/>
  <c r="P153" i="1"/>
  <c r="M153" i="1"/>
  <c r="L153" i="1"/>
  <c r="Q152" i="1"/>
  <c r="P152" i="1"/>
  <c r="M152" i="1"/>
  <c r="L152" i="1"/>
  <c r="R152" i="1" s="1"/>
  <c r="R151" i="1"/>
  <c r="Q151" i="1"/>
  <c r="P151" i="1"/>
  <c r="M151" i="1"/>
  <c r="N151" i="1" s="1"/>
  <c r="O151" i="1" s="1"/>
  <c r="L151" i="1"/>
  <c r="Q150" i="1"/>
  <c r="P150" i="1"/>
  <c r="M150" i="1"/>
  <c r="L150" i="1"/>
  <c r="R150" i="1" s="1"/>
  <c r="R149" i="1"/>
  <c r="Q149" i="1"/>
  <c r="P149" i="1"/>
  <c r="N149" i="1"/>
  <c r="O149" i="1" s="1"/>
  <c r="M149" i="1"/>
  <c r="L149" i="1"/>
  <c r="Q148" i="1"/>
  <c r="P148" i="1"/>
  <c r="M148" i="1"/>
  <c r="L148" i="1"/>
  <c r="N148" i="1" s="1"/>
  <c r="O148" i="1" s="1"/>
  <c r="Q147" i="1"/>
  <c r="P147" i="1"/>
  <c r="M147" i="1"/>
  <c r="N147" i="1" s="1"/>
  <c r="O147" i="1" s="1"/>
  <c r="L147" i="1"/>
  <c r="R147" i="1" s="1"/>
  <c r="R146" i="1"/>
  <c r="Q146" i="1"/>
  <c r="P146" i="1"/>
  <c r="M146" i="1"/>
  <c r="N146" i="1" s="1"/>
  <c r="O146" i="1" s="1"/>
  <c r="L146" i="1"/>
  <c r="Q145" i="1"/>
  <c r="P145" i="1"/>
  <c r="M145" i="1"/>
  <c r="L145" i="1"/>
  <c r="R145" i="1" s="1"/>
  <c r="R144" i="1"/>
  <c r="Q144" i="1"/>
  <c r="P144" i="1"/>
  <c r="N144" i="1"/>
  <c r="O144" i="1" s="1"/>
  <c r="M144" i="1"/>
  <c r="L144" i="1"/>
  <c r="Q143" i="1"/>
  <c r="P143" i="1"/>
  <c r="N143" i="1"/>
  <c r="O143" i="1" s="1"/>
  <c r="M143" i="1"/>
  <c r="L143" i="1"/>
  <c r="R143" i="1" s="1"/>
  <c r="R142" i="1"/>
  <c r="Q142" i="1"/>
  <c r="P142" i="1"/>
  <c r="N142" i="1"/>
  <c r="O142" i="1" s="1"/>
  <c r="M142" i="1"/>
  <c r="L142" i="1"/>
  <c r="Q141" i="1"/>
  <c r="P141" i="1"/>
  <c r="M141" i="1"/>
  <c r="L141" i="1"/>
  <c r="Q140" i="1"/>
  <c r="P140" i="1"/>
  <c r="M140" i="1"/>
  <c r="L140" i="1"/>
  <c r="R140" i="1" s="1"/>
  <c r="R139" i="1"/>
  <c r="Q139" i="1"/>
  <c r="P139" i="1"/>
  <c r="N139" i="1"/>
  <c r="O139" i="1" s="1"/>
  <c r="M139" i="1"/>
  <c r="L139" i="1"/>
  <c r="Q138" i="1"/>
  <c r="P138" i="1"/>
  <c r="N138" i="1"/>
  <c r="O138" i="1" s="1"/>
  <c r="M138" i="1"/>
  <c r="L138" i="1"/>
  <c r="R138" i="1" s="1"/>
  <c r="R137" i="1"/>
  <c r="Q137" i="1"/>
  <c r="P137" i="1"/>
  <c r="M137" i="1"/>
  <c r="L137" i="1"/>
  <c r="Q136" i="1"/>
  <c r="P136" i="1"/>
  <c r="M136" i="1"/>
  <c r="L136" i="1"/>
  <c r="R136" i="1" s="1"/>
  <c r="R135" i="1"/>
  <c r="Q135" i="1"/>
  <c r="P135" i="1"/>
  <c r="M135" i="1"/>
  <c r="N135" i="1" s="1"/>
  <c r="O135" i="1" s="1"/>
  <c r="L135" i="1"/>
  <c r="R134" i="1"/>
  <c r="Q134" i="1"/>
  <c r="P134" i="1"/>
  <c r="N134" i="1"/>
  <c r="O134" i="1" s="1"/>
  <c r="M134" i="1"/>
  <c r="L134" i="1"/>
  <c r="Q133" i="1"/>
  <c r="P133" i="1"/>
  <c r="N133" i="1"/>
  <c r="O133" i="1" s="1"/>
  <c r="M133" i="1"/>
  <c r="L133" i="1"/>
  <c r="R133" i="1" s="1"/>
  <c r="R132" i="1"/>
  <c r="Q132" i="1"/>
  <c r="P132" i="1"/>
  <c r="O132" i="1"/>
  <c r="M132" i="1"/>
  <c r="L132" i="1"/>
  <c r="N132" i="1" s="1"/>
  <c r="R131" i="1"/>
  <c r="Q131" i="1"/>
  <c r="P131" i="1"/>
  <c r="M131" i="1"/>
  <c r="N131" i="1" s="1"/>
  <c r="O131" i="1" s="1"/>
  <c r="L131" i="1"/>
  <c r="R130" i="1"/>
  <c r="Q130" i="1"/>
  <c r="P130" i="1"/>
  <c r="M130" i="1"/>
  <c r="N130" i="1" s="1"/>
  <c r="O130" i="1" s="1"/>
  <c r="L130" i="1"/>
  <c r="Q129" i="1"/>
  <c r="P129" i="1"/>
  <c r="N129" i="1"/>
  <c r="O129" i="1" s="1"/>
  <c r="M129" i="1"/>
  <c r="L129" i="1"/>
  <c r="R129" i="1" s="1"/>
  <c r="Q128" i="1"/>
  <c r="P128" i="1"/>
  <c r="N128" i="1"/>
  <c r="O128" i="1" s="1"/>
  <c r="M128" i="1"/>
  <c r="L128" i="1"/>
  <c r="R128" i="1" s="1"/>
  <c r="R127" i="1"/>
  <c r="Q127" i="1"/>
  <c r="P127" i="1"/>
  <c r="N127" i="1"/>
  <c r="O127" i="1" s="1"/>
  <c r="M127" i="1"/>
  <c r="L127" i="1"/>
  <c r="Q126" i="1"/>
  <c r="P126" i="1"/>
  <c r="N126" i="1"/>
  <c r="O126" i="1" s="1"/>
  <c r="M126" i="1"/>
  <c r="L126" i="1"/>
  <c r="R126" i="1" s="1"/>
  <c r="Q125" i="1"/>
  <c r="P125" i="1"/>
  <c r="M125" i="1"/>
  <c r="L125" i="1"/>
  <c r="R124" i="1"/>
  <c r="Q124" i="1"/>
  <c r="P124" i="1"/>
  <c r="N124" i="1"/>
  <c r="O124" i="1" s="1"/>
  <c r="M124" i="1"/>
  <c r="L124" i="1"/>
  <c r="R123" i="1"/>
  <c r="Q123" i="1"/>
  <c r="P123" i="1"/>
  <c r="N123" i="1"/>
  <c r="O123" i="1" s="1"/>
  <c r="M123" i="1"/>
  <c r="L123" i="1"/>
  <c r="R122" i="1"/>
  <c r="Q122" i="1"/>
  <c r="P122" i="1"/>
  <c r="N122" i="1"/>
  <c r="O122" i="1" s="1"/>
  <c r="M122" i="1"/>
  <c r="L122" i="1"/>
  <c r="Q121" i="1"/>
  <c r="P121" i="1"/>
  <c r="M121" i="1"/>
  <c r="L121" i="1"/>
  <c r="Q120" i="1"/>
  <c r="P120" i="1"/>
  <c r="M120" i="1"/>
  <c r="L120" i="1"/>
  <c r="R120" i="1" s="1"/>
  <c r="R119" i="1"/>
  <c r="Q119" i="1"/>
  <c r="P119" i="1"/>
  <c r="M119" i="1"/>
  <c r="N119" i="1" s="1"/>
  <c r="O119" i="1" s="1"/>
  <c r="L119" i="1"/>
  <c r="R118" i="1"/>
  <c r="Q118" i="1"/>
  <c r="P118" i="1"/>
  <c r="N118" i="1"/>
  <c r="O118" i="1" s="1"/>
  <c r="M118" i="1"/>
  <c r="L118" i="1"/>
  <c r="R117" i="1"/>
  <c r="Q117" i="1"/>
  <c r="P117" i="1"/>
  <c r="N117" i="1"/>
  <c r="O117" i="1" s="1"/>
  <c r="M117" i="1"/>
  <c r="L117" i="1"/>
  <c r="Q116" i="1"/>
  <c r="P116" i="1"/>
  <c r="O116" i="1"/>
  <c r="M116" i="1"/>
  <c r="L116" i="1"/>
  <c r="N116" i="1" s="1"/>
  <c r="Q115" i="1"/>
  <c r="P115" i="1"/>
  <c r="M115" i="1"/>
  <c r="L115" i="1"/>
  <c r="N115" i="1" s="1"/>
  <c r="O115" i="1" s="1"/>
  <c r="R114" i="1"/>
  <c r="Q114" i="1"/>
  <c r="P114" i="1"/>
  <c r="M114" i="1"/>
  <c r="N114" i="1" s="1"/>
  <c r="O114" i="1" s="1"/>
  <c r="L114" i="1"/>
  <c r="Q113" i="1"/>
  <c r="P113" i="1"/>
  <c r="N113" i="1"/>
  <c r="O113" i="1" s="1"/>
  <c r="M113" i="1"/>
  <c r="L113" i="1"/>
  <c r="R113" i="1" s="1"/>
  <c r="R112" i="1"/>
  <c r="Q112" i="1"/>
  <c r="P112" i="1"/>
  <c r="N112" i="1"/>
  <c r="O112" i="1" s="1"/>
  <c r="M112" i="1"/>
  <c r="L112" i="1"/>
  <c r="Q111" i="1"/>
  <c r="P111" i="1"/>
  <c r="N111" i="1"/>
  <c r="O111" i="1" s="1"/>
  <c r="M111" i="1"/>
  <c r="L111" i="1"/>
  <c r="R111" i="1" s="1"/>
  <c r="Q110" i="1"/>
  <c r="P110" i="1"/>
  <c r="M110" i="1"/>
  <c r="L110" i="1"/>
  <c r="R110" i="1" s="1"/>
  <c r="Q109" i="1"/>
  <c r="P109" i="1"/>
  <c r="M109" i="1"/>
  <c r="L109" i="1"/>
  <c r="R109" i="1" s="1"/>
  <c r="Q108" i="1"/>
  <c r="P108" i="1"/>
  <c r="M108" i="1"/>
  <c r="L108" i="1"/>
  <c r="R108" i="1" s="1"/>
  <c r="R107" i="1"/>
  <c r="Q107" i="1"/>
  <c r="P107" i="1"/>
  <c r="O107" i="1"/>
  <c r="N107" i="1"/>
  <c r="M107" i="1"/>
  <c r="L107" i="1"/>
  <c r="R106" i="1"/>
  <c r="Q106" i="1"/>
  <c r="P106" i="1"/>
  <c r="M106" i="1"/>
  <c r="L106" i="1"/>
  <c r="N106" i="1" s="1"/>
  <c r="O106" i="1" s="1"/>
  <c r="Q105" i="1"/>
  <c r="P105" i="1"/>
  <c r="M105" i="1"/>
  <c r="L105" i="1"/>
  <c r="N105" i="1" s="1"/>
  <c r="O105" i="1" s="1"/>
  <c r="Q104" i="1"/>
  <c r="P104" i="1"/>
  <c r="M104" i="1"/>
  <c r="L104" i="1"/>
  <c r="R104" i="1" s="1"/>
  <c r="R103" i="1"/>
  <c r="Q103" i="1"/>
  <c r="P103" i="1"/>
  <c r="M103" i="1"/>
  <c r="N103" i="1" s="1"/>
  <c r="O103" i="1" s="1"/>
  <c r="L103" i="1"/>
  <c r="R102" i="1"/>
  <c r="Q102" i="1"/>
  <c r="P102" i="1"/>
  <c r="N102" i="1"/>
  <c r="O102" i="1" s="1"/>
  <c r="M102" i="1"/>
  <c r="L102" i="1"/>
  <c r="Q101" i="1"/>
  <c r="P101" i="1"/>
  <c r="N101" i="1"/>
  <c r="O101" i="1" s="1"/>
  <c r="M101" i="1"/>
  <c r="L101" i="1"/>
  <c r="R101" i="1" s="1"/>
  <c r="R100" i="1"/>
  <c r="Q100" i="1"/>
  <c r="P100" i="1"/>
  <c r="M100" i="1"/>
  <c r="L100" i="1"/>
  <c r="R99" i="1"/>
  <c r="Q99" i="1"/>
  <c r="P99" i="1"/>
  <c r="M99" i="1"/>
  <c r="N99" i="1" s="1"/>
  <c r="O99" i="1" s="1"/>
  <c r="L99" i="1"/>
  <c r="R98" i="1"/>
  <c r="Q98" i="1"/>
  <c r="P98" i="1"/>
  <c r="M98" i="1"/>
  <c r="N98" i="1" s="1"/>
  <c r="O98" i="1" s="1"/>
  <c r="L98" i="1"/>
  <c r="R97" i="1"/>
  <c r="Q97" i="1"/>
  <c r="P97" i="1"/>
  <c r="M97" i="1"/>
  <c r="L97" i="1"/>
  <c r="N97" i="1" s="1"/>
  <c r="O97" i="1" s="1"/>
  <c r="Q96" i="1"/>
  <c r="P96" i="1"/>
  <c r="M96" i="1"/>
  <c r="L96" i="1"/>
  <c r="R96" i="1" s="1"/>
  <c r="R95" i="1"/>
  <c r="Q95" i="1"/>
  <c r="P95" i="1"/>
  <c r="M95" i="1"/>
  <c r="N95" i="1" s="1"/>
  <c r="O95" i="1" s="1"/>
  <c r="L95" i="1"/>
  <c r="R94" i="1"/>
  <c r="Q94" i="1"/>
  <c r="P94" i="1"/>
  <c r="M94" i="1"/>
  <c r="L94" i="1"/>
  <c r="N94" i="1" s="1"/>
  <c r="O94" i="1" s="1"/>
  <c r="Q93" i="1"/>
  <c r="P93" i="1"/>
  <c r="M93" i="1"/>
  <c r="L93" i="1"/>
  <c r="R93" i="1" s="1"/>
  <c r="R92" i="1"/>
  <c r="Q92" i="1"/>
  <c r="P92" i="1"/>
  <c r="M92" i="1"/>
  <c r="L92" i="1"/>
  <c r="N92" i="1" s="1"/>
  <c r="O92" i="1" s="1"/>
  <c r="Q91" i="1"/>
  <c r="P91" i="1"/>
  <c r="M91" i="1"/>
  <c r="L91" i="1"/>
  <c r="R91" i="1" s="1"/>
  <c r="R90" i="1"/>
  <c r="Q90" i="1"/>
  <c r="P90" i="1"/>
  <c r="N90" i="1"/>
  <c r="O90" i="1" s="1"/>
  <c r="M90" i="1"/>
  <c r="L90" i="1"/>
  <c r="Q89" i="1"/>
  <c r="P89" i="1"/>
  <c r="M89" i="1"/>
  <c r="L89" i="1"/>
  <c r="Q88" i="1"/>
  <c r="P88" i="1"/>
  <c r="M88" i="1"/>
  <c r="L88" i="1"/>
  <c r="R88" i="1" s="1"/>
  <c r="R87" i="1"/>
  <c r="Q87" i="1"/>
  <c r="P87" i="1"/>
  <c r="M87" i="1"/>
  <c r="N87" i="1" s="1"/>
  <c r="O87" i="1" s="1"/>
  <c r="L87" i="1"/>
  <c r="Q86" i="1"/>
  <c r="P86" i="1"/>
  <c r="M86" i="1"/>
  <c r="L86" i="1"/>
  <c r="N86" i="1" s="1"/>
  <c r="O86" i="1" s="1"/>
  <c r="R85" i="1"/>
  <c r="Q85" i="1"/>
  <c r="P85" i="1"/>
  <c r="M85" i="1"/>
  <c r="L85" i="1"/>
  <c r="N85" i="1" s="1"/>
  <c r="O85" i="1" s="1"/>
  <c r="R84" i="1"/>
  <c r="Q84" i="1"/>
  <c r="P84" i="1"/>
  <c r="M84" i="1"/>
  <c r="L84" i="1"/>
  <c r="N84" i="1" s="1"/>
  <c r="O84" i="1" s="1"/>
  <c r="R83" i="1"/>
  <c r="Q83" i="1"/>
  <c r="P83" i="1"/>
  <c r="N83" i="1"/>
  <c r="O83" i="1" s="1"/>
  <c r="M83" i="1"/>
  <c r="L83" i="1"/>
  <c r="R82" i="1"/>
  <c r="Q82" i="1"/>
  <c r="P82" i="1"/>
  <c r="M82" i="1"/>
  <c r="N82" i="1" s="1"/>
  <c r="O82" i="1" s="1"/>
  <c r="L82" i="1"/>
  <c r="Q81" i="1"/>
  <c r="P81" i="1"/>
  <c r="M81" i="1"/>
  <c r="L81" i="1"/>
  <c r="N81" i="1" s="1"/>
  <c r="O81" i="1" s="1"/>
  <c r="R80" i="1"/>
  <c r="Q80" i="1"/>
  <c r="P80" i="1"/>
  <c r="M80" i="1"/>
  <c r="L80" i="1"/>
  <c r="N80" i="1" s="1"/>
  <c r="O80" i="1" s="1"/>
  <c r="Q79" i="1"/>
  <c r="P79" i="1"/>
  <c r="M79" i="1"/>
  <c r="L79" i="1"/>
  <c r="R79" i="1" s="1"/>
  <c r="R78" i="1"/>
  <c r="Q78" i="1"/>
  <c r="P78" i="1"/>
  <c r="N78" i="1"/>
  <c r="O78" i="1" s="1"/>
  <c r="M78" i="1"/>
  <c r="L78" i="1"/>
  <c r="Q77" i="1"/>
  <c r="P77" i="1"/>
  <c r="N77" i="1"/>
  <c r="O77" i="1" s="1"/>
  <c r="M77" i="1"/>
  <c r="L77" i="1"/>
  <c r="R77" i="1" s="1"/>
  <c r="Q76" i="1"/>
  <c r="P76" i="1"/>
  <c r="M76" i="1"/>
  <c r="L76" i="1"/>
  <c r="N76" i="1" s="1"/>
  <c r="O76" i="1" s="1"/>
  <c r="Q75" i="1"/>
  <c r="P75" i="1"/>
  <c r="M75" i="1"/>
  <c r="L75" i="1"/>
  <c r="R75" i="1" s="1"/>
  <c r="Q74" i="1"/>
  <c r="P74" i="1"/>
  <c r="M74" i="1"/>
  <c r="L74" i="1"/>
  <c r="N74" i="1" s="1"/>
  <c r="O74" i="1" s="1"/>
  <c r="R73" i="1"/>
  <c r="Q73" i="1"/>
  <c r="P73" i="1"/>
  <c r="O73" i="1"/>
  <c r="M73" i="1"/>
  <c r="L73" i="1"/>
  <c r="N73" i="1" s="1"/>
  <c r="Q72" i="1"/>
  <c r="P72" i="1"/>
  <c r="M72" i="1"/>
  <c r="L72" i="1"/>
  <c r="R72" i="1" s="1"/>
  <c r="R71" i="1"/>
  <c r="Q71" i="1"/>
  <c r="P71" i="1"/>
  <c r="M71" i="1"/>
  <c r="N71" i="1" s="1"/>
  <c r="O71" i="1" s="1"/>
  <c r="L71" i="1"/>
  <c r="R70" i="1"/>
  <c r="Q70" i="1"/>
  <c r="P70" i="1"/>
  <c r="M70" i="1"/>
  <c r="N70" i="1" s="1"/>
  <c r="O70" i="1" s="1"/>
  <c r="L70" i="1"/>
  <c r="Q69" i="1"/>
  <c r="P69" i="1"/>
  <c r="M69" i="1"/>
  <c r="L69" i="1"/>
  <c r="N69" i="1" s="1"/>
  <c r="O69" i="1" s="1"/>
  <c r="R68" i="1"/>
  <c r="Q68" i="1"/>
  <c r="P68" i="1"/>
  <c r="M68" i="1"/>
  <c r="L68" i="1"/>
  <c r="Q67" i="1"/>
  <c r="P67" i="1"/>
  <c r="M67" i="1"/>
  <c r="L67" i="1"/>
  <c r="R67" i="1" s="1"/>
  <c r="R66" i="1"/>
  <c r="Q66" i="1"/>
  <c r="P66" i="1"/>
  <c r="N66" i="1"/>
  <c r="O66" i="1" s="1"/>
  <c r="M66" i="1"/>
  <c r="L66" i="1"/>
  <c r="Q65" i="1"/>
  <c r="P65" i="1"/>
  <c r="N65" i="1"/>
  <c r="O65" i="1" s="1"/>
  <c r="M65" i="1"/>
  <c r="L65" i="1"/>
  <c r="R65" i="1" s="1"/>
  <c r="Q64" i="1"/>
  <c r="P64" i="1"/>
  <c r="M64" i="1"/>
  <c r="L64" i="1"/>
  <c r="N64" i="1" s="1"/>
  <c r="O64" i="1" s="1"/>
  <c r="Q63" i="1"/>
  <c r="P63" i="1"/>
  <c r="M63" i="1"/>
  <c r="L63" i="1"/>
  <c r="R63" i="1" s="1"/>
  <c r="Q62" i="1"/>
  <c r="P62" i="1"/>
  <c r="M62" i="1"/>
  <c r="L62" i="1"/>
  <c r="N62" i="1" s="1"/>
  <c r="O62" i="1" s="1"/>
  <c r="Q61" i="1"/>
  <c r="P61" i="1"/>
  <c r="M61" i="1"/>
  <c r="N61" i="1" s="1"/>
  <c r="O61" i="1" s="1"/>
  <c r="L61" i="1"/>
  <c r="R61" i="1" s="1"/>
  <c r="R60" i="1"/>
  <c r="Q60" i="1"/>
  <c r="P60" i="1"/>
  <c r="M60" i="1"/>
  <c r="L60" i="1"/>
  <c r="N60" i="1" s="1"/>
  <c r="O60" i="1" s="1"/>
  <c r="R59" i="1"/>
  <c r="Q59" i="1"/>
  <c r="P59" i="1"/>
  <c r="N59" i="1"/>
  <c r="O59" i="1" s="1"/>
  <c r="M59" i="1"/>
  <c r="L59" i="1"/>
  <c r="R58" i="1"/>
  <c r="Q58" i="1"/>
  <c r="P58" i="1"/>
  <c r="M58" i="1"/>
  <c r="N58" i="1" s="1"/>
  <c r="O58" i="1" s="1"/>
  <c r="L58" i="1"/>
  <c r="Q57" i="1"/>
  <c r="P57" i="1"/>
  <c r="M57" i="1"/>
  <c r="L57" i="1"/>
  <c r="N57" i="1" s="1"/>
  <c r="O57" i="1" s="1"/>
  <c r="Q56" i="1"/>
  <c r="P56" i="1"/>
  <c r="N56" i="1"/>
  <c r="O56" i="1" s="1"/>
  <c r="M56" i="1"/>
  <c r="L56" i="1"/>
  <c r="R56" i="1" s="1"/>
  <c r="R55" i="1"/>
  <c r="Q55" i="1"/>
  <c r="P55" i="1"/>
  <c r="N55" i="1"/>
  <c r="O55" i="1" s="1"/>
  <c r="M55" i="1"/>
  <c r="L55" i="1"/>
  <c r="R54" i="1"/>
  <c r="Q54" i="1"/>
  <c r="P54" i="1"/>
  <c r="N54" i="1"/>
  <c r="O54" i="1" s="1"/>
  <c r="M54" i="1"/>
  <c r="L54" i="1"/>
  <c r="Q53" i="1"/>
  <c r="P53" i="1"/>
  <c r="N53" i="1"/>
  <c r="O53" i="1" s="1"/>
  <c r="M53" i="1"/>
  <c r="L53" i="1"/>
  <c r="R53" i="1" s="1"/>
  <c r="Q52" i="1"/>
  <c r="P52" i="1"/>
  <c r="M52" i="1"/>
  <c r="L52" i="1"/>
  <c r="N52" i="1" s="1"/>
  <c r="O52" i="1" s="1"/>
  <c r="R51" i="1"/>
  <c r="Q51" i="1"/>
  <c r="P51" i="1"/>
  <c r="M51" i="1"/>
  <c r="L51" i="1"/>
  <c r="N51" i="1" s="1"/>
  <c r="O51" i="1" s="1"/>
  <c r="R50" i="1"/>
  <c r="Q50" i="1"/>
  <c r="P50" i="1"/>
  <c r="M50" i="1"/>
  <c r="N50" i="1" s="1"/>
  <c r="O50" i="1" s="1"/>
  <c r="L50" i="1"/>
  <c r="R49" i="1"/>
  <c r="Q49" i="1"/>
  <c r="P49" i="1"/>
  <c r="M49" i="1"/>
  <c r="N49" i="1" s="1"/>
  <c r="O49" i="1" s="1"/>
  <c r="L49" i="1"/>
  <c r="Q48" i="1"/>
  <c r="P48" i="1"/>
  <c r="M48" i="1"/>
  <c r="L48" i="1"/>
  <c r="R48" i="1" s="1"/>
  <c r="R47" i="1"/>
  <c r="Q47" i="1"/>
  <c r="P47" i="1"/>
  <c r="M47" i="1"/>
  <c r="N47" i="1" s="1"/>
  <c r="O47" i="1" s="1"/>
  <c r="L47" i="1"/>
  <c r="R46" i="1"/>
  <c r="Q46" i="1"/>
  <c r="P46" i="1"/>
  <c r="M46" i="1"/>
  <c r="N46" i="1" s="1"/>
  <c r="O46" i="1" s="1"/>
  <c r="L46" i="1"/>
  <c r="Q45" i="1"/>
  <c r="P45" i="1"/>
  <c r="M45" i="1"/>
  <c r="L45" i="1"/>
  <c r="R45" i="1" s="1"/>
  <c r="R44" i="1"/>
  <c r="Q44" i="1"/>
  <c r="P44" i="1"/>
  <c r="N44" i="1"/>
  <c r="O44" i="1" s="1"/>
  <c r="M44" i="1"/>
  <c r="L44" i="1"/>
  <c r="Q43" i="1"/>
  <c r="P43" i="1"/>
  <c r="M43" i="1"/>
  <c r="L43" i="1"/>
  <c r="R43" i="1" s="1"/>
  <c r="R42" i="1"/>
  <c r="Q42" i="1"/>
  <c r="P42" i="1"/>
  <c r="N42" i="1"/>
  <c r="O42" i="1" s="1"/>
  <c r="M42" i="1"/>
  <c r="L42" i="1"/>
  <c r="Q41" i="1"/>
  <c r="P41" i="1"/>
  <c r="M41" i="1"/>
  <c r="L41" i="1"/>
  <c r="Q40" i="1"/>
  <c r="P40" i="1"/>
  <c r="M40" i="1"/>
  <c r="L40" i="1"/>
  <c r="R40" i="1" s="1"/>
  <c r="R39" i="1"/>
  <c r="Q39" i="1"/>
  <c r="P39" i="1"/>
  <c r="M39" i="1"/>
  <c r="N39" i="1" s="1"/>
  <c r="O39" i="1" s="1"/>
  <c r="L39" i="1"/>
  <c r="Q38" i="1"/>
  <c r="P38" i="1"/>
  <c r="M38" i="1"/>
  <c r="L38" i="1"/>
  <c r="R38" i="1" s="1"/>
  <c r="R37" i="1"/>
  <c r="Q37" i="1"/>
  <c r="P37" i="1"/>
  <c r="M37" i="1"/>
  <c r="N37" i="1" s="1"/>
  <c r="O37" i="1" s="1"/>
  <c r="L37" i="1"/>
  <c r="Q36" i="1"/>
  <c r="P36" i="1"/>
  <c r="O36" i="1"/>
  <c r="M36" i="1"/>
  <c r="L36" i="1"/>
  <c r="N36" i="1" s="1"/>
  <c r="Q35" i="1"/>
  <c r="P35" i="1"/>
  <c r="M35" i="1"/>
  <c r="L35" i="1"/>
  <c r="N35" i="1" s="1"/>
  <c r="O35" i="1" s="1"/>
  <c r="R34" i="1"/>
  <c r="Q34" i="1"/>
  <c r="P34" i="1"/>
  <c r="N34" i="1"/>
  <c r="O34" i="1" s="1"/>
  <c r="M34" i="1"/>
  <c r="L34" i="1"/>
  <c r="Q33" i="1"/>
  <c r="P33" i="1"/>
  <c r="M33" i="1"/>
  <c r="L33" i="1"/>
  <c r="R33" i="1" s="1"/>
  <c r="R32" i="1"/>
  <c r="Q32" i="1"/>
  <c r="P32" i="1"/>
  <c r="N32" i="1"/>
  <c r="O32" i="1" s="1"/>
  <c r="M32" i="1"/>
  <c r="L32" i="1"/>
  <c r="Q31" i="1"/>
  <c r="P31" i="1"/>
  <c r="M31" i="1"/>
  <c r="L31" i="1"/>
  <c r="R31" i="1" s="1"/>
  <c r="R30" i="1"/>
  <c r="Q30" i="1"/>
  <c r="P30" i="1"/>
  <c r="N30" i="1"/>
  <c r="O30" i="1" s="1"/>
  <c r="M30" i="1"/>
  <c r="L30" i="1"/>
  <c r="Q29" i="1"/>
  <c r="P29" i="1"/>
  <c r="M29" i="1"/>
  <c r="L29" i="1"/>
  <c r="R29" i="1" s="1"/>
  <c r="Q28" i="1"/>
  <c r="P28" i="1"/>
  <c r="M28" i="1"/>
  <c r="L28" i="1"/>
  <c r="N28" i="1" s="1"/>
  <c r="O28" i="1" s="1"/>
  <c r="R27" i="1"/>
  <c r="Q27" i="1"/>
  <c r="P27" i="1"/>
  <c r="M27" i="1"/>
  <c r="L27" i="1"/>
  <c r="N27" i="1" s="1"/>
  <c r="O27" i="1" s="1"/>
  <c r="Q26" i="1"/>
  <c r="P26" i="1"/>
  <c r="M26" i="1"/>
  <c r="L26" i="1"/>
  <c r="R26" i="1" s="1"/>
  <c r="R25" i="1"/>
  <c r="Q25" i="1"/>
  <c r="P25" i="1"/>
  <c r="O25" i="1"/>
  <c r="M25" i="1"/>
  <c r="L25" i="1"/>
  <c r="N25" i="1" s="1"/>
  <c r="Q24" i="1"/>
  <c r="P24" i="1"/>
  <c r="M24" i="1"/>
  <c r="N24" i="1" s="1"/>
  <c r="O24" i="1" s="1"/>
  <c r="L24" i="1"/>
  <c r="R24" i="1" s="1"/>
  <c r="R23" i="1"/>
  <c r="Q23" i="1"/>
  <c r="P23" i="1"/>
  <c r="M23" i="1"/>
  <c r="N23" i="1" s="1"/>
  <c r="O23" i="1" s="1"/>
  <c r="L23" i="1"/>
  <c r="R22" i="1"/>
  <c r="Q22" i="1"/>
  <c r="P22" i="1"/>
  <c r="M22" i="1"/>
  <c r="L22" i="1"/>
  <c r="N22" i="1" s="1"/>
  <c r="O22" i="1" s="1"/>
  <c r="Q21" i="1"/>
  <c r="P21" i="1"/>
  <c r="M21" i="1"/>
  <c r="L21" i="1"/>
  <c r="R21" i="1" s="1"/>
  <c r="R20" i="1"/>
  <c r="Q20" i="1"/>
  <c r="P20" i="1"/>
  <c r="M20" i="1"/>
  <c r="L20" i="1"/>
  <c r="Q19" i="1"/>
  <c r="P19" i="1"/>
  <c r="M19" i="1"/>
  <c r="L19" i="1"/>
  <c r="R19" i="1" s="1"/>
  <c r="R18" i="1"/>
  <c r="Q18" i="1"/>
  <c r="P18" i="1"/>
  <c r="M18" i="1"/>
  <c r="N18" i="1" s="1"/>
  <c r="O18" i="1" s="1"/>
  <c r="L18" i="1"/>
  <c r="Q17" i="1"/>
  <c r="P17" i="1"/>
  <c r="M17" i="1"/>
  <c r="L17" i="1"/>
  <c r="R17" i="1" s="1"/>
  <c r="Q16" i="1"/>
  <c r="P16" i="1"/>
  <c r="M16" i="1"/>
  <c r="L16" i="1"/>
  <c r="N16" i="1" s="1"/>
  <c r="O16" i="1" s="1"/>
  <c r="R15" i="1"/>
  <c r="Q15" i="1"/>
  <c r="P15" i="1"/>
  <c r="M15" i="1"/>
  <c r="L15" i="1"/>
  <c r="N15" i="1" s="1"/>
  <c r="O15" i="1" s="1"/>
  <c r="Q14" i="1"/>
  <c r="P14" i="1"/>
  <c r="M14" i="1"/>
  <c r="L14" i="1"/>
  <c r="R14" i="1" s="1"/>
  <c r="Q13" i="1"/>
  <c r="P13" i="1"/>
  <c r="M13" i="1"/>
  <c r="N13" i="1" s="1"/>
  <c r="O13" i="1" s="1"/>
  <c r="L13" i="1"/>
  <c r="R13" i="1" s="1"/>
  <c r="R12" i="1"/>
  <c r="Q12" i="1"/>
  <c r="P12" i="1"/>
  <c r="M12" i="1"/>
  <c r="N12" i="1" s="1"/>
  <c r="O12" i="1" s="1"/>
  <c r="L12" i="1"/>
  <c r="Q11" i="1"/>
  <c r="P11" i="1"/>
  <c r="M11" i="1"/>
  <c r="L11" i="1"/>
  <c r="N11" i="1" s="1"/>
  <c r="O11" i="1" s="1"/>
  <c r="R10" i="1"/>
  <c r="Q10" i="1"/>
  <c r="P10" i="1"/>
  <c r="M10" i="1"/>
  <c r="L10" i="1"/>
  <c r="N10" i="1" s="1"/>
  <c r="O10" i="1" s="1"/>
  <c r="Q9" i="1"/>
  <c r="P9" i="1"/>
  <c r="M9" i="1"/>
  <c r="L9" i="1"/>
  <c r="N9" i="1" s="1"/>
  <c r="O9" i="1" s="1"/>
  <c r="Q8" i="1"/>
  <c r="P8" i="1"/>
  <c r="N8" i="1"/>
  <c r="O8" i="1" s="1"/>
  <c r="M8" i="1"/>
  <c r="L8" i="1"/>
  <c r="R8" i="1" s="1"/>
  <c r="R7" i="1"/>
  <c r="Q7" i="1"/>
  <c r="P7" i="1"/>
  <c r="N7" i="1"/>
  <c r="O7" i="1" s="1"/>
  <c r="M7" i="1"/>
  <c r="L7" i="1"/>
  <c r="Q6" i="1"/>
  <c r="P6" i="1"/>
  <c r="M6" i="1"/>
  <c r="L6" i="1"/>
  <c r="R6" i="1" s="1"/>
  <c r="N40" i="1" l="1"/>
  <c r="O40" i="1" s="1"/>
  <c r="N120" i="1"/>
  <c r="O120" i="1" s="1"/>
  <c r="R173" i="1"/>
  <c r="N173" i="1"/>
  <c r="O173" i="1" s="1"/>
  <c r="N181" i="1"/>
  <c r="O181" i="1" s="1"/>
  <c r="R181" i="1"/>
  <c r="R209" i="1"/>
  <c r="N209" i="1"/>
  <c r="O209" i="1" s="1"/>
  <c r="N229" i="1"/>
  <c r="O229" i="1" s="1"/>
  <c r="R229" i="1"/>
  <c r="R232" i="1"/>
  <c r="N232" i="1"/>
  <c r="O232" i="1" s="1"/>
  <c r="N272" i="1"/>
  <c r="O272" i="1" s="1"/>
  <c r="R281" i="1"/>
  <c r="N281" i="1"/>
  <c r="O281" i="1" s="1"/>
  <c r="R286" i="1"/>
  <c r="N298" i="1"/>
  <c r="O298" i="1" s="1"/>
  <c r="R313" i="1"/>
  <c r="N313" i="1"/>
  <c r="O313" i="1" s="1"/>
  <c r="N110" i="1"/>
  <c r="O110" i="1" s="1"/>
  <c r="N21" i="1"/>
  <c r="O21" i="1" s="1"/>
  <c r="N33" i="1"/>
  <c r="O33" i="1" s="1"/>
  <c r="N45" i="1"/>
  <c r="O45" i="1" s="1"/>
  <c r="N79" i="1"/>
  <c r="O79" i="1" s="1"/>
  <c r="N91" i="1"/>
  <c r="O91" i="1" s="1"/>
  <c r="R105" i="1"/>
  <c r="N140" i="1"/>
  <c r="O140" i="1" s="1"/>
  <c r="N145" i="1"/>
  <c r="O145" i="1" s="1"/>
  <c r="N150" i="1"/>
  <c r="O150" i="1" s="1"/>
  <c r="N160" i="1"/>
  <c r="O160" i="1" s="1"/>
  <c r="R170" i="1"/>
  <c r="N192" i="1"/>
  <c r="O192" i="1" s="1"/>
  <c r="R328" i="1"/>
  <c r="N328" i="1"/>
  <c r="O328" i="1" s="1"/>
  <c r="N6" i="1"/>
  <c r="O6" i="1" s="1"/>
  <c r="N14" i="1"/>
  <c r="O14" i="1" s="1"/>
  <c r="N26" i="1"/>
  <c r="O26" i="1" s="1"/>
  <c r="R35" i="1"/>
  <c r="N38" i="1"/>
  <c r="O38" i="1" s="1"/>
  <c r="R52" i="1"/>
  <c r="R64" i="1"/>
  <c r="N67" i="1"/>
  <c r="O67" i="1" s="1"/>
  <c r="R76" i="1"/>
  <c r="N89" i="1"/>
  <c r="O89" i="1" s="1"/>
  <c r="N96" i="1"/>
  <c r="O96" i="1" s="1"/>
  <c r="N108" i="1"/>
  <c r="O108" i="1" s="1"/>
  <c r="N153" i="1"/>
  <c r="O153" i="1" s="1"/>
  <c r="N198" i="1"/>
  <c r="O198" i="1" s="1"/>
  <c r="R206" i="1"/>
  <c r="R240" i="1"/>
  <c r="N304" i="1"/>
  <c r="O304" i="1" s="1"/>
  <c r="N382" i="1"/>
  <c r="O382" i="1" s="1"/>
  <c r="R382" i="1"/>
  <c r="N31" i="1"/>
  <c r="O31" i="1" s="1"/>
  <c r="R57" i="1"/>
  <c r="R69" i="1"/>
  <c r="R81" i="1"/>
  <c r="R201" i="1"/>
  <c r="N201" i="1"/>
  <c r="O201" i="1" s="1"/>
  <c r="R221" i="1"/>
  <c r="N221" i="1"/>
  <c r="O221" i="1" s="1"/>
  <c r="R241" i="1"/>
  <c r="N241" i="1"/>
  <c r="O241" i="1" s="1"/>
  <c r="N261" i="1"/>
  <c r="O261" i="1" s="1"/>
  <c r="R261" i="1"/>
  <c r="R264" i="1"/>
  <c r="N264" i="1"/>
  <c r="O264" i="1" s="1"/>
  <c r="R334" i="1"/>
  <c r="R344" i="1"/>
  <c r="N344" i="1"/>
  <c r="O344" i="1" s="1"/>
  <c r="N152" i="1"/>
  <c r="O152" i="1" s="1"/>
  <c r="R189" i="1"/>
  <c r="N189" i="1"/>
  <c r="O189" i="1" s="1"/>
  <c r="R11" i="1"/>
  <c r="N43" i="1"/>
  <c r="O43" i="1" s="1"/>
  <c r="R115" i="1"/>
  <c r="R16" i="1"/>
  <c r="N19" i="1"/>
  <c r="O19" i="1" s="1"/>
  <c r="R28" i="1"/>
  <c r="N41" i="1"/>
  <c r="O41" i="1" s="1"/>
  <c r="N48" i="1"/>
  <c r="O48" i="1" s="1"/>
  <c r="R62" i="1"/>
  <c r="N72" i="1"/>
  <c r="O72" i="1" s="1"/>
  <c r="R74" i="1"/>
  <c r="R86" i="1"/>
  <c r="N121" i="1"/>
  <c r="O121" i="1" s="1"/>
  <c r="N184" i="1"/>
  <c r="O184" i="1" s="1"/>
  <c r="R360" i="1"/>
  <c r="N360" i="1"/>
  <c r="O360" i="1" s="1"/>
  <c r="R280" i="1"/>
  <c r="N280" i="1"/>
  <c r="O280" i="1" s="1"/>
  <c r="R157" i="1"/>
  <c r="N157" i="1"/>
  <c r="O157" i="1" s="1"/>
  <c r="R9" i="1"/>
  <c r="N230" i="1"/>
  <c r="O230" i="1" s="1"/>
  <c r="R233" i="1"/>
  <c r="N233" i="1"/>
  <c r="O233" i="1" s="1"/>
  <c r="R273" i="1"/>
  <c r="N273" i="1"/>
  <c r="O273" i="1" s="1"/>
  <c r="N293" i="1"/>
  <c r="O293" i="1" s="1"/>
  <c r="R293" i="1"/>
  <c r="R296" i="1"/>
  <c r="N296" i="1"/>
  <c r="O296" i="1" s="1"/>
  <c r="R376" i="1"/>
  <c r="N376" i="1"/>
  <c r="O376" i="1" s="1"/>
  <c r="N88" i="1"/>
  <c r="O88" i="1" s="1"/>
  <c r="N266" i="1"/>
  <c r="O266" i="1" s="1"/>
  <c r="R289" i="1"/>
  <c r="N289" i="1"/>
  <c r="O289" i="1" s="1"/>
  <c r="N186" i="1"/>
  <c r="O186" i="1" s="1"/>
  <c r="R141" i="1"/>
  <c r="N141" i="1"/>
  <c r="O141" i="1" s="1"/>
  <c r="R193" i="1"/>
  <c r="N193" i="1"/>
  <c r="O193" i="1" s="1"/>
  <c r="R305" i="1"/>
  <c r="N305" i="1"/>
  <c r="O305" i="1" s="1"/>
  <c r="R200" i="1"/>
  <c r="N200" i="1"/>
  <c r="O200" i="1" s="1"/>
  <c r="R249" i="1"/>
  <c r="N249" i="1"/>
  <c r="O249" i="1" s="1"/>
  <c r="N17" i="1"/>
  <c r="O17" i="1" s="1"/>
  <c r="N29" i="1"/>
  <c r="O29" i="1" s="1"/>
  <c r="N63" i="1"/>
  <c r="O63" i="1" s="1"/>
  <c r="N68" i="1"/>
  <c r="O68" i="1" s="1"/>
  <c r="N75" i="1"/>
  <c r="O75" i="1" s="1"/>
  <c r="R89" i="1"/>
  <c r="N136" i="1"/>
  <c r="O136" i="1" s="1"/>
  <c r="R148" i="1"/>
  <c r="R153" i="1"/>
  <c r="R169" i="1"/>
  <c r="N169" i="1"/>
  <c r="O169" i="1" s="1"/>
  <c r="N213" i="1"/>
  <c r="O213" i="1" s="1"/>
  <c r="R213" i="1"/>
  <c r="R216" i="1"/>
  <c r="N216" i="1"/>
  <c r="O216" i="1" s="1"/>
  <c r="N222" i="1"/>
  <c r="O222" i="1" s="1"/>
  <c r="N256" i="1"/>
  <c r="O256" i="1" s="1"/>
  <c r="R265" i="1"/>
  <c r="N265" i="1"/>
  <c r="O265" i="1" s="1"/>
  <c r="R270" i="1"/>
  <c r="N282" i="1"/>
  <c r="O282" i="1" s="1"/>
  <c r="N314" i="1"/>
  <c r="O314" i="1" s="1"/>
  <c r="N161" i="1"/>
  <c r="O161" i="1" s="1"/>
  <c r="R177" i="1"/>
  <c r="N177" i="1"/>
  <c r="O177" i="1" s="1"/>
  <c r="N346" i="1"/>
  <c r="O346" i="1" s="1"/>
  <c r="R125" i="1"/>
  <c r="N125" i="1"/>
  <c r="O125" i="1" s="1"/>
  <c r="R36" i="1"/>
  <c r="N104" i="1"/>
  <c r="O104" i="1" s="1"/>
  <c r="R185" i="1"/>
  <c r="N185" i="1"/>
  <c r="O185" i="1" s="1"/>
  <c r="N20" i="1"/>
  <c r="O20" i="1" s="1"/>
  <c r="R41" i="1"/>
  <c r="N109" i="1"/>
  <c r="O109" i="1" s="1"/>
  <c r="R116" i="1"/>
  <c r="R121" i="1"/>
  <c r="R225" i="1"/>
  <c r="N225" i="1"/>
  <c r="O225" i="1" s="1"/>
  <c r="R297" i="1"/>
  <c r="N297" i="1"/>
  <c r="O297" i="1" s="1"/>
  <c r="R302" i="1"/>
  <c r="R217" i="1"/>
  <c r="N217" i="1"/>
  <c r="O217" i="1" s="1"/>
  <c r="R312" i="1"/>
  <c r="N312" i="1"/>
  <c r="O312" i="1" s="1"/>
  <c r="R321" i="1"/>
  <c r="N321" i="1"/>
  <c r="O321" i="1" s="1"/>
  <c r="R205" i="1"/>
  <c r="N205" i="1"/>
  <c r="O205" i="1" s="1"/>
  <c r="N245" i="1"/>
  <c r="O245" i="1" s="1"/>
  <c r="R245" i="1"/>
  <c r="R248" i="1"/>
  <c r="N248" i="1"/>
  <c r="O248" i="1" s="1"/>
  <c r="R257" i="1"/>
  <c r="N257" i="1"/>
  <c r="O257" i="1" s="1"/>
  <c r="N277" i="1"/>
  <c r="O277" i="1" s="1"/>
  <c r="R277" i="1"/>
  <c r="N197" i="1"/>
  <c r="O197" i="1" s="1"/>
  <c r="R197" i="1"/>
  <c r="R237" i="1"/>
  <c r="N237" i="1"/>
  <c r="O237" i="1" s="1"/>
  <c r="N93" i="1"/>
  <c r="O93" i="1" s="1"/>
  <c r="N165" i="1"/>
  <c r="O165" i="1" s="1"/>
  <c r="R165" i="1"/>
  <c r="N100" i="1"/>
  <c r="O100" i="1" s="1"/>
  <c r="N137" i="1"/>
  <c r="O137" i="1" s="1"/>
  <c r="R398" i="1"/>
  <c r="R414" i="1"/>
  <c r="R430" i="1"/>
  <c r="N442" i="1"/>
  <c r="O442" i="1" s="1"/>
  <c r="R446" i="1"/>
  <c r="R309" i="1"/>
  <c r="R325" i="1"/>
  <c r="N337" i="1"/>
  <c r="O337" i="1" s="1"/>
  <c r="R341" i="1"/>
  <c r="N353" i="1"/>
  <c r="O353" i="1" s="1"/>
  <c r="R357" i="1"/>
  <c r="N369" i="1"/>
  <c r="O369" i="1" s="1"/>
  <c r="R373" i="1"/>
  <c r="N385" i="1"/>
  <c r="O385" i="1" s="1"/>
  <c r="R389" i="1"/>
  <c r="N401" i="1"/>
  <c r="O401" i="1" s="1"/>
  <c r="R405" i="1"/>
  <c r="N417" i="1"/>
  <c r="O417" i="1" s="1"/>
  <c r="R421" i="1"/>
  <c r="N433" i="1"/>
  <c r="O433" i="1" s="1"/>
  <c r="R437" i="1"/>
  <c r="R380" i="1"/>
  <c r="R396" i="1"/>
  <c r="R412" i="1"/>
  <c r="R428" i="1"/>
  <c r="R444" i="1"/>
  <c r="N383" i="1"/>
  <c r="O383" i="1" s="1"/>
  <c r="N399" i="1"/>
  <c r="O399" i="1" s="1"/>
  <c r="N415" i="1"/>
  <c r="O415" i="1" s="1"/>
  <c r="N431" i="1"/>
  <c r="O431" i="1" s="1"/>
  <c r="N447" i="1"/>
  <c r="O447" i="1" s="1"/>
  <c r="R451" i="1"/>
  <c r="N454" i="1"/>
  <c r="O454" i="1" s="1"/>
  <c r="N253" i="1"/>
  <c r="O253" i="1" s="1"/>
  <c r="N269" i="1"/>
  <c r="O269" i="1" s="1"/>
  <c r="N285" i="1"/>
  <c r="O285" i="1" s="1"/>
  <c r="N301" i="1"/>
  <c r="O301" i="1" s="1"/>
  <c r="N317" i="1"/>
  <c r="O317" i="1" s="1"/>
  <c r="N333" i="1"/>
  <c r="O333" i="1" s="1"/>
  <c r="N349" i="1"/>
  <c r="O349" i="1" s="1"/>
  <c r="N365" i="1"/>
  <c r="O365" i="1" s="1"/>
  <c r="N445" i="1"/>
  <c r="O445" i="1" s="1"/>
  <c r="N443" i="1"/>
  <c r="O443" i="1" s="1"/>
  <c r="N329" i="1"/>
  <c r="O329" i="1" s="1"/>
  <c r="N345" i="1"/>
  <c r="O345" i="1" s="1"/>
  <c r="N361" i="1"/>
  <c r="O361" i="1" s="1"/>
  <c r="N400" i="1"/>
  <c r="O400" i="1" s="1"/>
  <c r="N416" i="1"/>
  <c r="O416" i="1" s="1"/>
  <c r="N432" i="1"/>
  <c r="O432" i="1" s="1"/>
  <c r="N448" i="1"/>
  <c r="O448" i="1" s="1"/>
</calcChain>
</file>

<file path=xl/sharedStrings.xml><?xml version="1.0" encoding="utf-8"?>
<sst xmlns="http://schemas.openxmlformats.org/spreadsheetml/2006/main" count="3169" uniqueCount="664">
  <si>
    <t xml:space="preserve"> Data of Sales  Company</t>
  </si>
  <si>
    <t>Order_ID</t>
  </si>
  <si>
    <t>Order_Date</t>
  </si>
  <si>
    <t>Customer_Name</t>
  </si>
  <si>
    <t>Region</t>
  </si>
  <si>
    <t>Product_Category</t>
  </si>
  <si>
    <t>Product</t>
  </si>
  <si>
    <t>Salesperson</t>
  </si>
  <si>
    <t>Quantity</t>
  </si>
  <si>
    <t>Unit_Price</t>
  </si>
  <si>
    <t>Unit_Cost</t>
  </si>
  <si>
    <t>Payment_Method</t>
  </si>
  <si>
    <t>Total Sales</t>
  </si>
  <si>
    <t>Total Cost</t>
  </si>
  <si>
    <t>Profit</t>
  </si>
  <si>
    <t>Profit %</t>
  </si>
  <si>
    <t>Month</t>
  </si>
  <si>
    <t>Quarter</t>
  </si>
  <si>
    <t>Sales Category</t>
  </si>
  <si>
    <t>ORD1002</t>
  </si>
  <si>
    <t>Customer 48</t>
  </si>
  <si>
    <t>South</t>
  </si>
  <si>
    <t>Home</t>
  </si>
  <si>
    <t>Storage Box</t>
  </si>
  <si>
    <t>Ayesha</t>
  </si>
  <si>
    <t>Cash</t>
  </si>
  <si>
    <t>ORD1003</t>
  </si>
  <si>
    <t>Customer 38</t>
  </si>
  <si>
    <t>West</t>
  </si>
  <si>
    <t>Electronics</t>
  </si>
  <si>
    <t>Keyboard</t>
  </si>
  <si>
    <t>Ali</t>
  </si>
  <si>
    <t>Card</t>
  </si>
  <si>
    <t>ORD1004</t>
  </si>
  <si>
    <t>Customer 95</t>
  </si>
  <si>
    <t>Laptop</t>
  </si>
  <si>
    <t>ORD1005</t>
  </si>
  <si>
    <t>Customer 162</t>
  </si>
  <si>
    <t>North</t>
  </si>
  <si>
    <t>Monitor</t>
  </si>
  <si>
    <t>Fatima</t>
  </si>
  <si>
    <t>Bank Transfer</t>
  </si>
  <si>
    <t>ORD1006</t>
  </si>
  <si>
    <t>Customer 22</t>
  </si>
  <si>
    <t>ORD1007</t>
  </si>
  <si>
    <t>Customer 125</t>
  </si>
  <si>
    <t>Office</t>
  </si>
  <si>
    <t>Notebook</t>
  </si>
  <si>
    <t>ORD1008</t>
  </si>
  <si>
    <t>Customer 176</t>
  </si>
  <si>
    <t>Mouse</t>
  </si>
  <si>
    <t>ORD1009</t>
  </si>
  <si>
    <t>Customer 175</t>
  </si>
  <si>
    <t>ORD1010</t>
  </si>
  <si>
    <t>Customer 2</t>
  </si>
  <si>
    <t>East</t>
  </si>
  <si>
    <t>Fan</t>
  </si>
  <si>
    <t>Ahmed</t>
  </si>
  <si>
    <t>ORD1011</t>
  </si>
  <si>
    <t>Customer 23</t>
  </si>
  <si>
    <t>Usman</t>
  </si>
  <si>
    <t>ORD1012</t>
  </si>
  <si>
    <t>Customer 10</t>
  </si>
  <si>
    <t>ORD1013</t>
  </si>
  <si>
    <t>Customer 52</t>
  </si>
  <si>
    <t>Sara</t>
  </si>
  <si>
    <t>ORD1014</t>
  </si>
  <si>
    <t>Customer 103</t>
  </si>
  <si>
    <t>Lamp</t>
  </si>
  <si>
    <t>ORD1015</t>
  </si>
  <si>
    <t>Customer 37</t>
  </si>
  <si>
    <t>ORD1016</t>
  </si>
  <si>
    <t>Customer 89</t>
  </si>
  <si>
    <t>Printer Paper</t>
  </si>
  <si>
    <t>ORD1017</t>
  </si>
  <si>
    <t>Customer 170</t>
  </si>
  <si>
    <t>ORD1018</t>
  </si>
  <si>
    <t>Customer 171</t>
  </si>
  <si>
    <t>ORD1019</t>
  </si>
  <si>
    <t>Customer 61</t>
  </si>
  <si>
    <t>Desk</t>
  </si>
  <si>
    <t>ORD1020</t>
  </si>
  <si>
    <t>Clock</t>
  </si>
  <si>
    <t>ORD1021</t>
  </si>
  <si>
    <t>Customer 65</t>
  </si>
  <si>
    <t>Chair</t>
  </si>
  <si>
    <t>ORD1022</t>
  </si>
  <si>
    <t>Customer 53</t>
  </si>
  <si>
    <t>ORD1023</t>
  </si>
  <si>
    <t>ORD1024</t>
  </si>
  <si>
    <t>Customer 127</t>
  </si>
  <si>
    <t>ORD1025</t>
  </si>
  <si>
    <t>Customer 21</t>
  </si>
  <si>
    <t>ORD1026</t>
  </si>
  <si>
    <t>Customer 146</t>
  </si>
  <si>
    <t>ORD1027</t>
  </si>
  <si>
    <t>Customer 99</t>
  </si>
  <si>
    <t>ORD1028</t>
  </si>
  <si>
    <t>Customer 150</t>
  </si>
  <si>
    <t>ORD1029</t>
  </si>
  <si>
    <t>ORD1030</t>
  </si>
  <si>
    <t>Customer 164</t>
  </si>
  <si>
    <t>ORD1031</t>
  </si>
  <si>
    <t>ORD1032</t>
  </si>
  <si>
    <t>ORD1033</t>
  </si>
  <si>
    <t>Customer 142</t>
  </si>
  <si>
    <t>ORD1034</t>
  </si>
  <si>
    <t>ORD1035</t>
  </si>
  <si>
    <t>Customer 120</t>
  </si>
  <si>
    <t>ORD1036</t>
  </si>
  <si>
    <t>ORD1037</t>
  </si>
  <si>
    <t>ORD1038</t>
  </si>
  <si>
    <t>Customer 119</t>
  </si>
  <si>
    <t>ORD1039</t>
  </si>
  <si>
    <t>Customer 32</t>
  </si>
  <si>
    <t>ORD1040</t>
  </si>
  <si>
    <t>Customer 121</t>
  </si>
  <si>
    <t>ORD1041</t>
  </si>
  <si>
    <t>Customer 33</t>
  </si>
  <si>
    <t>ORD1042</t>
  </si>
  <si>
    <t>Customer 79</t>
  </si>
  <si>
    <t>ORD1043</t>
  </si>
  <si>
    <t>ORD1044</t>
  </si>
  <si>
    <t>Customer 20</t>
  </si>
  <si>
    <t>ORD1045</t>
  </si>
  <si>
    <t>Customer 167</t>
  </si>
  <si>
    <t>ORD1046</t>
  </si>
  <si>
    <t>ORD1047</t>
  </si>
  <si>
    <t>ORD1048</t>
  </si>
  <si>
    <t>Customer 5</t>
  </si>
  <si>
    <t>ORD1049</t>
  </si>
  <si>
    <t>Customer 98</t>
  </si>
  <si>
    <t>ORD1050</t>
  </si>
  <si>
    <t>ORD1051</t>
  </si>
  <si>
    <t>Customer 117</t>
  </si>
  <si>
    <t>ORD1052</t>
  </si>
  <si>
    <t>Customer 161</t>
  </si>
  <si>
    <t>ORD1053</t>
  </si>
  <si>
    <t>Customer 42</t>
  </si>
  <si>
    <t>ORD1054</t>
  </si>
  <si>
    <t>ORD1055</t>
  </si>
  <si>
    <t>Customer 62</t>
  </si>
  <si>
    <t>ORD1056</t>
  </si>
  <si>
    <t>Customer 165</t>
  </si>
  <si>
    <t>ORD1057</t>
  </si>
  <si>
    <t>Customer 122</t>
  </si>
  <si>
    <t>ORD1058</t>
  </si>
  <si>
    <t>Customer 67</t>
  </si>
  <si>
    <t>ORD1059</t>
  </si>
  <si>
    <t>ORD1060</t>
  </si>
  <si>
    <t>Customer 114</t>
  </si>
  <si>
    <t>ORD1061</t>
  </si>
  <si>
    <t>Customer 59</t>
  </si>
  <si>
    <t>ORD1062</t>
  </si>
  <si>
    <t>Customer 163</t>
  </si>
  <si>
    <t>ORD1063</t>
  </si>
  <si>
    <t>ORD1064</t>
  </si>
  <si>
    <t>Customer 49</t>
  </si>
  <si>
    <t>ORD1065</t>
  </si>
  <si>
    <t>ORD1066</t>
  </si>
  <si>
    <t>Customer 151</t>
  </si>
  <si>
    <t>ORD1067</t>
  </si>
  <si>
    <t>Customer 94</t>
  </si>
  <si>
    <t>ORD1068</t>
  </si>
  <si>
    <t>Customer 133</t>
  </si>
  <si>
    <t>ORD1069</t>
  </si>
  <si>
    <t>Customer 153</t>
  </si>
  <si>
    <t>ORD1070</t>
  </si>
  <si>
    <t>Customer 45</t>
  </si>
  <si>
    <t>ORD1071</t>
  </si>
  <si>
    <t>Customer 90</t>
  </si>
  <si>
    <t>ORD1072</t>
  </si>
  <si>
    <t>Customer 143</t>
  </si>
  <si>
    <t>ORD1073</t>
  </si>
  <si>
    <t>Customer 97</t>
  </si>
  <si>
    <t>ORD1074</t>
  </si>
  <si>
    <t>ORD1075</t>
  </si>
  <si>
    <t>Customer 8</t>
  </si>
  <si>
    <t>ORD1076</t>
  </si>
  <si>
    <t>Customer 63</t>
  </si>
  <si>
    <t>ORD1077</t>
  </si>
  <si>
    <t>ORD1078</t>
  </si>
  <si>
    <t>ORD1079</t>
  </si>
  <si>
    <t>Customer 35</t>
  </si>
  <si>
    <t>ORD1080</t>
  </si>
  <si>
    <t>ORD1081</t>
  </si>
  <si>
    <t>ORD1082</t>
  </si>
  <si>
    <t>ORD1083</t>
  </si>
  <si>
    <t>ORD1084</t>
  </si>
  <si>
    <t>Customer 131</t>
  </si>
  <si>
    <t>ORD1085</t>
  </si>
  <si>
    <t>Customer 7</t>
  </si>
  <si>
    <t>ORD1086</t>
  </si>
  <si>
    <t>ORD1087</t>
  </si>
  <si>
    <t>ORD1088</t>
  </si>
  <si>
    <t>Customer 177</t>
  </si>
  <si>
    <t>ORD1089</t>
  </si>
  <si>
    <t>Customer 19</t>
  </si>
  <si>
    <t>ORD1090</t>
  </si>
  <si>
    <t>Customer 111</t>
  </si>
  <si>
    <t>ORD1091</t>
  </si>
  <si>
    <t>ORD1092</t>
  </si>
  <si>
    <t>Customer 39</t>
  </si>
  <si>
    <t>ORD1093</t>
  </si>
  <si>
    <t>Customer 51</t>
  </si>
  <si>
    <t>ORD1094</t>
  </si>
  <si>
    <t>Customer 149</t>
  </si>
  <si>
    <t>ORD1095</t>
  </si>
  <si>
    <t>Customer 148</t>
  </si>
  <si>
    <t>ORD1096</t>
  </si>
  <si>
    <t>ORD1097</t>
  </si>
  <si>
    <t>Customer 58</t>
  </si>
  <si>
    <t>ORD1098</t>
  </si>
  <si>
    <t>Customer 11</t>
  </si>
  <si>
    <t>ORD1099</t>
  </si>
  <si>
    <t>ORD1100</t>
  </si>
  <si>
    <t>Customer 3</t>
  </si>
  <si>
    <t>ORD1101</t>
  </si>
  <si>
    <t>ORD1102</t>
  </si>
  <si>
    <t>ORD1103</t>
  </si>
  <si>
    <t>Customer 104</t>
  </si>
  <si>
    <t>ORD1104</t>
  </si>
  <si>
    <t>ORD1105</t>
  </si>
  <si>
    <t>Customer 140</t>
  </si>
  <si>
    <t>ORD1106</t>
  </si>
  <si>
    <t>Customer 156</t>
  </si>
  <si>
    <t>ORD1107</t>
  </si>
  <si>
    <t>Customer 54</t>
  </si>
  <si>
    <t>ORD1108</t>
  </si>
  <si>
    <t>Customer 82</t>
  </si>
  <si>
    <t>ORD1109</t>
  </si>
  <si>
    <t>Customer 44</t>
  </si>
  <si>
    <t>ORD1110</t>
  </si>
  <si>
    <t>Customer 91</t>
  </si>
  <si>
    <t>ORD1111</t>
  </si>
  <si>
    <t>Customer 57</t>
  </si>
  <si>
    <t>ORD1112</t>
  </si>
  <si>
    <t>ORD1113</t>
  </si>
  <si>
    <t>ORD1114</t>
  </si>
  <si>
    <t>ORD1115</t>
  </si>
  <si>
    <t>Customer 145</t>
  </si>
  <si>
    <t>ORD1116</t>
  </si>
  <si>
    <t>Customer 154</t>
  </si>
  <si>
    <t>ORD1117</t>
  </si>
  <si>
    <t>Customer 77</t>
  </si>
  <si>
    <t>ORD1118</t>
  </si>
  <si>
    <t>ORD1119</t>
  </si>
  <si>
    <t>ORD1120</t>
  </si>
  <si>
    <t>ORD1121</t>
  </si>
  <si>
    <t>Customer 1</t>
  </si>
  <si>
    <t>ORD1122</t>
  </si>
  <si>
    <t>Customer 168</t>
  </si>
  <si>
    <t>ORD1123</t>
  </si>
  <si>
    <t>Customer 73</t>
  </si>
  <si>
    <t>ORD1124</t>
  </si>
  <si>
    <t>ORD1125</t>
  </si>
  <si>
    <t>ORD1126</t>
  </si>
  <si>
    <t>Customer 105</t>
  </si>
  <si>
    <t>ORD1127</t>
  </si>
  <si>
    <t>Customer 87</t>
  </si>
  <si>
    <t>ORD1128</t>
  </si>
  <si>
    <t>Customer 50</t>
  </si>
  <si>
    <t>ORD1129</t>
  </si>
  <si>
    <t>ORD1130</t>
  </si>
  <si>
    <t>Customer 47</t>
  </si>
  <si>
    <t>ORD1131</t>
  </si>
  <si>
    <t>Customer 134</t>
  </si>
  <si>
    <t>ORD1132</t>
  </si>
  <si>
    <t>Customer 27</t>
  </si>
  <si>
    <t>ORD1133</t>
  </si>
  <si>
    <t>Customer 75</t>
  </si>
  <si>
    <t>ORD1134</t>
  </si>
  <si>
    <t>Customer 74</t>
  </si>
  <si>
    <t>ORD1135</t>
  </si>
  <si>
    <t>Customer 31</t>
  </si>
  <si>
    <t>ORD1136</t>
  </si>
  <si>
    <t>ORD1137</t>
  </si>
  <si>
    <t>Customer 109</t>
  </si>
  <si>
    <t>ORD1138</t>
  </si>
  <si>
    <t>ORD1139</t>
  </si>
  <si>
    <t>ORD1140</t>
  </si>
  <si>
    <t>Customer 68</t>
  </si>
  <si>
    <t>ORD1141</t>
  </si>
  <si>
    <t>Customer 128</t>
  </si>
  <si>
    <t>ORD1142</t>
  </si>
  <si>
    <t>Customer 29</t>
  </si>
  <si>
    <t>ORD1143</t>
  </si>
  <si>
    <t>ORD1144</t>
  </si>
  <si>
    <t>ORD1145</t>
  </si>
  <si>
    <t>Customer 84</t>
  </si>
  <si>
    <t>ORD1146</t>
  </si>
  <si>
    <t>ORD1147</t>
  </si>
  <si>
    <t>Customer 43</t>
  </si>
  <si>
    <t>ORD1148</t>
  </si>
  <si>
    <t>ORD1149</t>
  </si>
  <si>
    <t>ORD1150</t>
  </si>
  <si>
    <t>ORD1151</t>
  </si>
  <si>
    <t>ORD1152</t>
  </si>
  <si>
    <t>ORD1153</t>
  </si>
  <si>
    <t>ORD1154</t>
  </si>
  <si>
    <t>Customer 107</t>
  </si>
  <si>
    <t>ORD1155</t>
  </si>
  <si>
    <t>ORD1156</t>
  </si>
  <si>
    <t>Customer 160</t>
  </si>
  <si>
    <t>ORD1157</t>
  </si>
  <si>
    <t>Customer 18</t>
  </si>
  <si>
    <t>ORD1158</t>
  </si>
  <si>
    <t>Customer 137</t>
  </si>
  <si>
    <t>ORD1159</t>
  </si>
  <si>
    <t>ORD1160</t>
  </si>
  <si>
    <t>Customer 14</t>
  </si>
  <si>
    <t>ORD1161</t>
  </si>
  <si>
    <t>ORD1162</t>
  </si>
  <si>
    <t>Customer 124</t>
  </si>
  <si>
    <t>ORD1163</t>
  </si>
  <si>
    <t>Customer 138</t>
  </si>
  <si>
    <t>ORD1164</t>
  </si>
  <si>
    <t>ORD1165</t>
  </si>
  <si>
    <t>ORD1166</t>
  </si>
  <si>
    <t>Customer 83</t>
  </si>
  <si>
    <t>ORD1167</t>
  </si>
  <si>
    <t>ORD1168</t>
  </si>
  <si>
    <t>ORD1169</t>
  </si>
  <si>
    <t>Customer 172</t>
  </si>
  <si>
    <t>ORD1170</t>
  </si>
  <si>
    <t>ORD1171</t>
  </si>
  <si>
    <t>Customer 180</t>
  </si>
  <si>
    <t>ORD1172</t>
  </si>
  <si>
    <t>Customer 147</t>
  </si>
  <si>
    <t>ORD1173</t>
  </si>
  <si>
    <t>ORD1174</t>
  </si>
  <si>
    <t>Customer 116</t>
  </si>
  <si>
    <t>ORD1175</t>
  </si>
  <si>
    <t>Customer 70</t>
  </si>
  <si>
    <t>ORD1176</t>
  </si>
  <si>
    <t>ORD1177</t>
  </si>
  <si>
    <t>Customer 78</t>
  </si>
  <si>
    <t>ORD1178</t>
  </si>
  <si>
    <t>Customer 115</t>
  </si>
  <si>
    <t>ORD1179</t>
  </si>
  <si>
    <t>ORD1180</t>
  </si>
  <si>
    <t>Customer 9</t>
  </si>
  <si>
    <t>ORD1181</t>
  </si>
  <si>
    <t>Customer 17</t>
  </si>
  <si>
    <t>ORD1182</t>
  </si>
  <si>
    <t>ORD1183</t>
  </si>
  <si>
    <t>ORD1184</t>
  </si>
  <si>
    <t>ORD1185</t>
  </si>
  <si>
    <t>ORD1186</t>
  </si>
  <si>
    <t>Customer 85</t>
  </si>
  <si>
    <t>ORD1187</t>
  </si>
  <si>
    <t>ORD1188</t>
  </si>
  <si>
    <t>ORD1189</t>
  </si>
  <si>
    <t>ORD1190</t>
  </si>
  <si>
    <t>ORD1191</t>
  </si>
  <si>
    <t>ORD1192</t>
  </si>
  <si>
    <t>Customer 179</t>
  </si>
  <si>
    <t>ORD1193</t>
  </si>
  <si>
    <t>ORD1194</t>
  </si>
  <si>
    <t>ORD1195</t>
  </si>
  <si>
    <t>Customer 26</t>
  </si>
  <si>
    <t>ORD1196</t>
  </si>
  <si>
    <t>Customer 6</t>
  </si>
  <si>
    <t>ORD1197</t>
  </si>
  <si>
    <t>ORD1198</t>
  </si>
  <si>
    <t>ORD1199</t>
  </si>
  <si>
    <t>ORD1200</t>
  </si>
  <si>
    <t>Customer 76</t>
  </si>
  <si>
    <t>ORD1201</t>
  </si>
  <si>
    <t>ORD1202</t>
  </si>
  <si>
    <t>Customer 13</t>
  </si>
  <si>
    <t>ORD1203</t>
  </si>
  <si>
    <t>Customer 34</t>
  </si>
  <si>
    <t>ORD1204</t>
  </si>
  <si>
    <t>ORD1205</t>
  </si>
  <si>
    <t>Customer 123</t>
  </si>
  <si>
    <t>ORD1206</t>
  </si>
  <si>
    <t>Customer 16</t>
  </si>
  <si>
    <t>ORD1207</t>
  </si>
  <si>
    <t>ORD1208</t>
  </si>
  <si>
    <t>ORD1209</t>
  </si>
  <si>
    <t>Customer 159</t>
  </si>
  <si>
    <t>ORD1210</t>
  </si>
  <si>
    <t>Customer 66</t>
  </si>
  <si>
    <t>ORD1211</t>
  </si>
  <si>
    <t>ORD1212</t>
  </si>
  <si>
    <t>Customer 113</t>
  </si>
  <si>
    <t>ORD1213</t>
  </si>
  <si>
    <t>ORD1214</t>
  </si>
  <si>
    <t>ORD1215</t>
  </si>
  <si>
    <t>Customer 60</t>
  </si>
  <si>
    <t>ORD1216</t>
  </si>
  <si>
    <t>Customer 100</t>
  </si>
  <si>
    <t>ORD1217</t>
  </si>
  <si>
    <t>ORD1218</t>
  </si>
  <si>
    <t>Customer 4</t>
  </si>
  <si>
    <t>ORD1219</t>
  </si>
  <si>
    <t>Customer 157</t>
  </si>
  <si>
    <t>ORD1220</t>
  </si>
  <si>
    <t>Customer 46</t>
  </si>
  <si>
    <t>ORD1221</t>
  </si>
  <si>
    <t>Customer 64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</si>
  <si>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</si>
  <si>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</si>
  <si>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</si>
  <si>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</si>
  <si>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</si>
  <si>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</si>
  <si>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</si>
  <si>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</si>
  <si>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</si>
  <si>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Customer 28</t>
  </si>
  <si>
    <t>ORD1231</t>
  </si>
  <si>
    <t>ORD1232</t>
  </si>
  <si>
    <t>Customer 126</t>
  </si>
  <si>
    <t>ORD1233</t>
  </si>
  <si>
    <t>ORD1234</t>
  </si>
  <si>
    <t>Customer 24</t>
  </si>
  <si>
    <t>ORD1235</t>
  </si>
  <si>
    <t>ORD1236</t>
  </si>
  <si>
    <t>Customer 71</t>
  </si>
  <si>
    <t>ORD1237</t>
  </si>
  <si>
    <t>ORD1238</t>
  </si>
  <si>
    <t>ORD1239</t>
  </si>
  <si>
    <t>ORD1240</t>
  </si>
  <si>
    <t>ORD1241</t>
  </si>
  <si>
    <t>ORD1242</t>
  </si>
  <si>
    <t>Customer 158</t>
  </si>
  <si>
    <t>ORD1243</t>
  </si>
  <si>
    <t>ORD1244</t>
  </si>
  <si>
    <t>ORD1245</t>
  </si>
  <si>
    <t>ORD1246</t>
  </si>
  <si>
    <t>ORD1247</t>
  </si>
  <si>
    <t>Customer 88</t>
  </si>
  <si>
    <t>ORD1248</t>
  </si>
  <si>
    <t>Customer 129</t>
  </si>
  <si>
    <t>ORD1249</t>
  </si>
  <si>
    <t>Customer 12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</si>
  <si>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</si>
  <si>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</si>
  <si>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</si>
  <si>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</si>
  <si>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</si>
  <si>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</si>
  <si>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</si>
  <si>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</si>
  <si>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</si>
  <si>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</si>
  <si>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</si>
  <si>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</si>
  <si>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</si>
  <si>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</si>
  <si>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</si>
  <si>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Customer 174</t>
  </si>
  <si>
    <t>ORD1265</t>
  </si>
  <si>
    <t>Customer 139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</si>
  <si>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</si>
  <si>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</si>
  <si>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</si>
  <si>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</si>
  <si>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</si>
  <si>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</si>
  <si>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</si>
  <si>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</si>
  <si>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</si>
  <si>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</si>
  <si>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Customer 155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</si>
  <si>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</si>
  <si>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</si>
  <si>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</si>
  <si>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</si>
  <si>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</si>
  <si>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</si>
  <si>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</si>
  <si>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</si>
  <si>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</si>
  <si>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</si>
  <si>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Customer 80</t>
  </si>
  <si>
    <t>ORD1286</t>
  </si>
  <si>
    <t>ORD1287</t>
  </si>
  <si>
    <t>Customer 96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</si>
  <si>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</si>
  <si>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</si>
  <si>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</si>
  <si>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</si>
  <si>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</si>
  <si>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</si>
  <si>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</si>
  <si>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</si>
  <si>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</si>
  <si>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</si>
  <si>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Customer 132</t>
  </si>
  <si>
    <t>ORD1298</t>
  </si>
  <si>
    <t>ORD1299</t>
  </si>
  <si>
    <t>ORD1300</t>
  </si>
  <si>
    <t>ORD1301</t>
  </si>
  <si>
    <t>ORD1302</t>
  </si>
  <si>
    <t>ORD1303</t>
  </si>
  <si>
    <t>ORD1304</t>
  </si>
  <si>
    <t>Customer 30</t>
  </si>
  <si>
    <t>ORD1305</t>
  </si>
  <si>
    <t>ORD1306</t>
  </si>
  <si>
    <t>Customer 69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</si>
  <si>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</si>
  <si>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</si>
  <si>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</si>
  <si>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</si>
  <si>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</si>
  <si>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</si>
  <si>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</si>
  <si>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</si>
  <si>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</si>
  <si>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</si>
  <si>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</si>
  <si>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</si>
  <si>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</si>
  <si>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</si>
  <si>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</si>
  <si>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</si>
  <si>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</si>
  <si>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</si>
  <si>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Customer 72</t>
  </si>
  <si>
    <t>ORD1325</t>
  </si>
  <si>
    <t>ORD1326</t>
  </si>
  <si>
    <t>ORD1327</t>
  </si>
  <si>
    <t>ORD1328</t>
  </si>
  <si>
    <t>ORD1329</t>
  </si>
  <si>
    <t>ORD1330</t>
  </si>
  <si>
    <t>Customer 110</t>
  </si>
  <si>
    <t>ORD1331</t>
  </si>
  <si>
    <t>ORD1332</t>
  </si>
  <si>
    <t>ORD1333</t>
  </si>
  <si>
    <t>Customer 141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</si>
  <si>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</si>
  <si>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</si>
  <si>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</si>
  <si>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</si>
  <si>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</si>
  <si>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</si>
  <si>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</si>
  <si>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</si>
  <si>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</si>
  <si>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</si>
  <si>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Customer 86</t>
  </si>
  <si>
    <t>ORD1344</t>
  </si>
  <si>
    <t>Customer 92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</si>
  <si>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</si>
  <si>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</si>
  <si>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</si>
  <si>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</si>
  <si>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</si>
  <si>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</si>
  <si>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</si>
  <si>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</si>
  <si>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</si>
  <si>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</si>
  <si>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</si>
  <si>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Customer 112</t>
  </si>
  <si>
    <t>ORD1356</t>
  </si>
  <si>
    <t>ORD1357</t>
  </si>
  <si>
    <t>Customer 108</t>
  </si>
  <si>
    <t>ORD1358</t>
  </si>
  <si>
    <t>ORD1359</t>
  </si>
  <si>
    <t>ORD1360</t>
  </si>
  <si>
    <t>ORD1361</t>
  </si>
  <si>
    <t>ORD1362</t>
  </si>
  <si>
    <t>Customer 144</t>
  </si>
  <si>
    <t>ORD1363</t>
  </si>
  <si>
    <t>Customer 102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</si>
  <si>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</si>
  <si>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</si>
  <si>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</si>
  <si>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</si>
  <si>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</si>
  <si>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</si>
  <si>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</si>
  <si>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</si>
  <si>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</si>
  <si>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</si>
  <si>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</si>
  <si>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</si>
  <si>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</si>
  <si>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</si>
  <si>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</si>
  <si>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</si>
  <si>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Customer 56</t>
  </si>
  <si>
    <t>ORD1380</t>
  </si>
  <si>
    <t>ORD1381</t>
  </si>
  <si>
    <t>Customer 93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</si>
  <si>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</si>
  <si>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</si>
  <si>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</si>
  <si>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</si>
  <si>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</si>
  <si>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</si>
  <si>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</si>
  <si>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</si>
  <si>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</si>
  <si>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</si>
  <si>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</si>
  <si>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Customer 81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</si>
  <si>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</si>
  <si>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</si>
  <si>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</si>
  <si>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</si>
  <si>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</si>
  <si>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</si>
  <si>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</si>
  <si>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</si>
  <si>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</si>
  <si>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</si>
  <si>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</si>
  <si>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</si>
  <si>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</si>
  <si>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Customer 55</t>
  </si>
  <si>
    <t>ORD1406</t>
  </si>
  <si>
    <t>ORD1407</t>
  </si>
  <si>
    <t>ORD1408</t>
  </si>
  <si>
    <t>ORD1409</t>
  </si>
  <si>
    <t>Customer 25</t>
  </si>
  <si>
    <t>ORD1410</t>
  </si>
  <si>
    <t>ORD1411</t>
  </si>
  <si>
    <t>ORD1412</t>
  </si>
  <si>
    <t>ORD1413</t>
  </si>
  <si>
    <t>Customer 136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</si>
  <si>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</si>
  <si>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</si>
  <si>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</si>
  <si>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</si>
  <si>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</si>
  <si>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</si>
  <si>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</si>
  <si>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</si>
  <si>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</si>
  <si>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</si>
  <si>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</si>
  <si>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</si>
  <si>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</si>
  <si>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</si>
  <si>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</si>
  <si>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</si>
  <si>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</si>
  <si>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</si>
  <si>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</si>
  <si>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</si>
  <si>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</si>
  <si>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</si>
  <si>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</si>
  <si>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Customer 178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</si>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</sst>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3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4" fillId="2" borderId="0" xfId="3" applyFont="1" applyAlignment="1">
      <alignment horizontal="center"/>
    </xf>
    <xf numFmtId="0" fontId="2" fillId="0" borderId="1" xfId="2"/>
    <xf numFmtId="14" fontId="2" fillId="0" borderId="1" xfId="2" applyNumberFormat="1"/>
    <xf numFmtId="44" fontId="2" fillId="0" borderId="1" xfId="2" applyNumberFormat="1"/>
    <xf numFmtId="0" fontId="5" fillId="0" borderId="0" xfId="0" applyFont="1"/>
    <xf numFmtId="14" fontId="5" fillId="0" borderId="0" xfId="0" applyNumberFormat="1" applyFont="1"/>
    <xf numFmtId="44" fontId="5" fillId="0" borderId="0" xfId="1" applyFont="1"/>
    <xf numFmtId="44" fontId="5" fillId="0" borderId="0" xfId="0" applyNumberFormat="1" applyFont="1"/>
    <xf numFmtId="44" fontId="0" fillId="0" borderId="0" xfId="0" applyNumberFormat="1"/>
    <xf numFmtId="10" fontId="0" fillId="0" borderId="0" xfId="0" applyNumberFormat="1"/>
    <xf numFmtId="44" fontId="0" fillId="0" borderId="0" xfId="1" applyFont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Accent1" xfId="3" builtinId="29"/>
    <cellStyle name="Currency" xfId="1" builtinId="4"/>
    <cellStyle name="Heading 3" xfId="2" builtinId="18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F0A4-269D-4FC6-B544-81D7EEC3B095}">
  <sheetPr>
    <tabColor rgb="FF00B050"/>
  </sheetPr>
  <dimension ref="A1:R478"/>
  <sheetViews>
    <sheetView tabSelected="1" workbookViewId="0">
      <selection activeCell="C3" sqref="C3"/>
    </sheetView>
  </sheetViews>
  <sheetFormatPr defaultRowHeight="14.4" x14ac:dyDescent="0.3"/>
  <cols>
    <col min="1" max="1" width="10.77734375" customWidth="1"/>
    <col min="2" max="2" width="10.6640625" style="1" bestFit="1" customWidth="1"/>
    <col min="3" max="3" width="15.21875" bestFit="1" customWidth="1"/>
    <col min="4" max="4" width="11.33203125" customWidth="1"/>
    <col min="5" max="5" width="16.33203125" bestFit="1" customWidth="1"/>
    <col min="6" max="6" width="11.5546875" bestFit="1" customWidth="1"/>
    <col min="7" max="7" width="11" bestFit="1" customWidth="1"/>
    <col min="8" max="8" width="8.33203125" bestFit="1" customWidth="1"/>
    <col min="9" max="9" width="11" style="12" bestFit="1" customWidth="1"/>
    <col min="10" max="10" width="10.5546875" style="12" customWidth="1"/>
    <col min="11" max="11" width="16.44140625" bestFit="1" customWidth="1"/>
    <col min="12" max="12" width="11.109375" bestFit="1" customWidth="1"/>
    <col min="13" max="13" width="12.109375" customWidth="1"/>
    <col min="14" max="14" width="11.88671875" customWidth="1"/>
    <col min="15" max="15" width="7.5546875" bestFit="1" customWidth="1"/>
    <col min="16" max="16" width="9.21875" customWidth="1"/>
    <col min="17" max="17" width="8" bestFit="1" customWidth="1"/>
    <col min="18" max="18" width="13.33203125" bestFit="1" customWidth="1"/>
  </cols>
  <sheetData>
    <row r="1" spans="1:18" x14ac:dyDescent="0.3">
      <c r="D1" s="2" t="s">
        <v>0</v>
      </c>
      <c r="E1" s="2"/>
      <c r="F1" s="2"/>
      <c r="G1" s="2"/>
      <c r="H1" s="2"/>
      <c r="I1" s="2"/>
      <c r="J1" s="2"/>
    </row>
    <row r="2" spans="1:18" x14ac:dyDescent="0.3">
      <c r="D2" s="2"/>
      <c r="E2" s="2"/>
      <c r="F2" s="2"/>
      <c r="G2" s="2"/>
      <c r="H2" s="2"/>
      <c r="I2" s="2"/>
      <c r="J2" s="2"/>
    </row>
    <row r="3" spans="1:18" x14ac:dyDescent="0.3">
      <c r="D3" s="2"/>
      <c r="E3" s="2"/>
      <c r="F3" s="2"/>
      <c r="G3" s="2"/>
      <c r="H3" s="2"/>
      <c r="I3" s="2"/>
      <c r="J3" s="2"/>
    </row>
    <row r="5" spans="1:18" ht="15" thickBot="1" x14ac:dyDescent="0.35">
      <c r="A5" s="3" t="s">
        <v>1</v>
      </c>
      <c r="B5" s="4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9</v>
      </c>
      <c r="J5" s="5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</row>
    <row r="6" spans="1:18" x14ac:dyDescent="0.3">
      <c r="A6" s="6" t="s">
        <v>19</v>
      </c>
      <c r="B6" s="7">
        <v>45859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>
        <v>20</v>
      </c>
      <c r="I6" s="8">
        <v>595.54</v>
      </c>
      <c r="J6" s="8">
        <v>337.78</v>
      </c>
      <c r="K6" s="6" t="s">
        <v>25</v>
      </c>
      <c r="L6" s="9">
        <f>H6*I6</f>
        <v>11910.8</v>
      </c>
      <c r="M6" s="10">
        <f>H6*J6</f>
        <v>6755.5999999999995</v>
      </c>
      <c r="N6" s="10">
        <f>L6-M6</f>
        <v>5155.2</v>
      </c>
      <c r="O6" s="11">
        <f>N6/L6</f>
        <v>0.43281727507808043</v>
      </c>
      <c r="P6" t="str">
        <f>TEXT(B6,"mmmm")</f>
        <v>July</v>
      </c>
      <c r="Q6" t="str">
        <f>"Q"&amp;ROUNDUP(MONTH(B6)/3,0)</f>
        <v>Q3</v>
      </c>
      <c r="R6" t="str">
        <f>IF(L6&gt;=10000,"High","Low")</f>
        <v>High</v>
      </c>
    </row>
    <row r="7" spans="1:18" x14ac:dyDescent="0.3">
      <c r="A7" s="6" t="s">
        <v>26</v>
      </c>
      <c r="B7" s="7">
        <v>45689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31</v>
      </c>
      <c r="H7" s="6">
        <v>14</v>
      </c>
      <c r="I7" s="8">
        <v>352.87</v>
      </c>
      <c r="J7" s="8">
        <v>260.45</v>
      </c>
      <c r="K7" s="6" t="s">
        <v>32</v>
      </c>
      <c r="L7" s="9">
        <f t="shared" ref="L7:L70" si="0">H7*I7</f>
        <v>4940.18</v>
      </c>
      <c r="M7" s="10">
        <f t="shared" ref="M7:M70" si="1">H7*J7</f>
        <v>3646.2999999999997</v>
      </c>
      <c r="N7" s="10">
        <f t="shared" ref="N7:N70" si="2">L7-M7</f>
        <v>1293.8800000000006</v>
      </c>
      <c r="O7" s="11">
        <f t="shared" ref="O7:O70" si="3">N7/L7</f>
        <v>0.26190948507949113</v>
      </c>
      <c r="P7" t="str">
        <f t="shared" ref="P7:P70" si="4">TEXT(B7,"mmmm")</f>
        <v>February</v>
      </c>
      <c r="Q7" t="str">
        <f t="shared" ref="Q7:Q70" si="5">"Q"&amp;ROUNDUP(MONTH(B7)/3,0)</f>
        <v>Q1</v>
      </c>
      <c r="R7" t="str">
        <f t="shared" ref="R7:R70" si="6">IF(L7&gt;=10000,"High","Low")</f>
        <v>Low</v>
      </c>
    </row>
    <row r="8" spans="1:18" x14ac:dyDescent="0.3">
      <c r="A8" s="6" t="s">
        <v>33</v>
      </c>
      <c r="B8" s="7">
        <v>45845</v>
      </c>
      <c r="C8" s="6" t="s">
        <v>34</v>
      </c>
      <c r="D8" s="6" t="s">
        <v>28</v>
      </c>
      <c r="E8" s="6" t="s">
        <v>29</v>
      </c>
      <c r="F8" s="6" t="s">
        <v>35</v>
      </c>
      <c r="G8" s="6" t="s">
        <v>24</v>
      </c>
      <c r="H8" s="6">
        <v>3</v>
      </c>
      <c r="I8" s="8">
        <v>1370.6</v>
      </c>
      <c r="J8" s="8">
        <v>1153.9000000000001</v>
      </c>
      <c r="K8" s="6" t="s">
        <v>25</v>
      </c>
      <c r="L8" s="9">
        <f t="shared" si="0"/>
        <v>4111.7999999999993</v>
      </c>
      <c r="M8" s="10">
        <f t="shared" si="1"/>
        <v>3461.7000000000003</v>
      </c>
      <c r="N8" s="10">
        <f t="shared" si="2"/>
        <v>650.099999999999</v>
      </c>
      <c r="O8" s="11">
        <f t="shared" si="3"/>
        <v>0.1581059390048152</v>
      </c>
      <c r="P8" t="str">
        <f t="shared" si="4"/>
        <v>July</v>
      </c>
      <c r="Q8" t="str">
        <f t="shared" si="5"/>
        <v>Q3</v>
      </c>
      <c r="R8" t="str">
        <f t="shared" si="6"/>
        <v>Low</v>
      </c>
    </row>
    <row r="9" spans="1:18" x14ac:dyDescent="0.3">
      <c r="A9" s="6" t="s">
        <v>36</v>
      </c>
      <c r="B9" s="7">
        <v>45709</v>
      </c>
      <c r="C9" s="6" t="s">
        <v>37</v>
      </c>
      <c r="D9" s="6" t="s">
        <v>38</v>
      </c>
      <c r="E9" s="6" t="s">
        <v>29</v>
      </c>
      <c r="F9" s="6" t="s">
        <v>39</v>
      </c>
      <c r="G9" s="6" t="s">
        <v>40</v>
      </c>
      <c r="H9" s="6">
        <v>17</v>
      </c>
      <c r="I9" s="8">
        <v>952.7</v>
      </c>
      <c r="J9" s="8">
        <v>625.99</v>
      </c>
      <c r="K9" s="6" t="s">
        <v>41</v>
      </c>
      <c r="L9" s="9">
        <f t="shared" si="0"/>
        <v>16195.900000000001</v>
      </c>
      <c r="M9" s="10">
        <f t="shared" si="1"/>
        <v>10641.83</v>
      </c>
      <c r="N9" s="10">
        <f t="shared" si="2"/>
        <v>5554.0700000000015</v>
      </c>
      <c r="O9" s="11">
        <f t="shared" si="3"/>
        <v>0.34293061824288867</v>
      </c>
      <c r="P9" t="str">
        <f t="shared" si="4"/>
        <v>February</v>
      </c>
      <c r="Q9" t="str">
        <f t="shared" si="5"/>
        <v>Q1</v>
      </c>
      <c r="R9" t="str">
        <f t="shared" si="6"/>
        <v>High</v>
      </c>
    </row>
    <row r="10" spans="1:18" x14ac:dyDescent="0.3">
      <c r="A10" s="6" t="s">
        <v>42</v>
      </c>
      <c r="B10" s="7">
        <v>45933</v>
      </c>
      <c r="C10" s="6" t="s">
        <v>43</v>
      </c>
      <c r="D10" s="6" t="s">
        <v>38</v>
      </c>
      <c r="E10" s="6" t="s">
        <v>29</v>
      </c>
      <c r="F10" s="6" t="s">
        <v>39</v>
      </c>
      <c r="G10" s="6" t="s">
        <v>24</v>
      </c>
      <c r="H10" s="6">
        <v>20</v>
      </c>
      <c r="I10" s="8">
        <v>1390.48</v>
      </c>
      <c r="J10" s="8">
        <v>976.54</v>
      </c>
      <c r="K10" s="6" t="s">
        <v>41</v>
      </c>
      <c r="L10" s="9">
        <f t="shared" si="0"/>
        <v>27809.599999999999</v>
      </c>
      <c r="M10" s="10">
        <f t="shared" si="1"/>
        <v>19530.8</v>
      </c>
      <c r="N10" s="10">
        <f t="shared" si="2"/>
        <v>8278.7999999999993</v>
      </c>
      <c r="O10" s="11">
        <f t="shared" si="3"/>
        <v>0.29769575973764456</v>
      </c>
      <c r="P10" t="str">
        <f t="shared" si="4"/>
        <v>October</v>
      </c>
      <c r="Q10" t="str">
        <f t="shared" si="5"/>
        <v>Q4</v>
      </c>
      <c r="R10" t="str">
        <f t="shared" si="6"/>
        <v>High</v>
      </c>
    </row>
    <row r="11" spans="1:18" x14ac:dyDescent="0.3">
      <c r="A11" s="6" t="s">
        <v>44</v>
      </c>
      <c r="B11" s="7">
        <v>45961</v>
      </c>
      <c r="C11" s="6" t="s">
        <v>45</v>
      </c>
      <c r="D11" s="6" t="s">
        <v>28</v>
      </c>
      <c r="E11" s="6" t="s">
        <v>46</v>
      </c>
      <c r="F11" s="6" t="s">
        <v>47</v>
      </c>
      <c r="G11" s="6" t="s">
        <v>24</v>
      </c>
      <c r="H11" s="6">
        <v>9</v>
      </c>
      <c r="I11" s="8">
        <v>143.07</v>
      </c>
      <c r="J11" s="8">
        <v>91.09</v>
      </c>
      <c r="K11" s="6" t="s">
        <v>25</v>
      </c>
      <c r="L11" s="9">
        <f t="shared" si="0"/>
        <v>1287.6299999999999</v>
      </c>
      <c r="M11" s="10">
        <f t="shared" si="1"/>
        <v>819.81000000000006</v>
      </c>
      <c r="N11" s="10">
        <f t="shared" si="2"/>
        <v>467.81999999999982</v>
      </c>
      <c r="O11" s="11">
        <f t="shared" si="3"/>
        <v>0.36331865520374629</v>
      </c>
      <c r="P11" t="str">
        <f t="shared" si="4"/>
        <v>October</v>
      </c>
      <c r="Q11" t="str">
        <f t="shared" si="5"/>
        <v>Q4</v>
      </c>
      <c r="R11" t="str">
        <f t="shared" si="6"/>
        <v>Low</v>
      </c>
    </row>
    <row r="12" spans="1:18" x14ac:dyDescent="0.3">
      <c r="A12" s="6" t="s">
        <v>48</v>
      </c>
      <c r="B12" s="7">
        <v>45986</v>
      </c>
      <c r="C12" s="6" t="s">
        <v>49</v>
      </c>
      <c r="D12" s="6" t="s">
        <v>38</v>
      </c>
      <c r="E12" s="6" t="s">
        <v>29</v>
      </c>
      <c r="F12" s="6" t="s">
        <v>50</v>
      </c>
      <c r="G12" s="6" t="s">
        <v>24</v>
      </c>
      <c r="H12" s="6">
        <v>9</v>
      </c>
      <c r="I12" s="8">
        <v>1388.91</v>
      </c>
      <c r="J12" s="8">
        <v>1225.6300000000001</v>
      </c>
      <c r="K12" s="6" t="s">
        <v>25</v>
      </c>
      <c r="L12" s="9">
        <f t="shared" si="0"/>
        <v>12500.19</v>
      </c>
      <c r="M12" s="10">
        <f t="shared" si="1"/>
        <v>11030.670000000002</v>
      </c>
      <c r="N12" s="10">
        <f t="shared" si="2"/>
        <v>1469.5199999999986</v>
      </c>
      <c r="O12" s="11">
        <f t="shared" si="3"/>
        <v>0.1175598130908409</v>
      </c>
      <c r="P12" t="str">
        <f t="shared" si="4"/>
        <v>November</v>
      </c>
      <c r="Q12" t="str">
        <f t="shared" si="5"/>
        <v>Q4</v>
      </c>
      <c r="R12" t="str">
        <f t="shared" si="6"/>
        <v>High</v>
      </c>
    </row>
    <row r="13" spans="1:18" x14ac:dyDescent="0.3">
      <c r="A13" s="6" t="s">
        <v>51</v>
      </c>
      <c r="B13" s="7">
        <v>45703</v>
      </c>
      <c r="C13" s="6" t="s">
        <v>52</v>
      </c>
      <c r="D13" s="6" t="s">
        <v>21</v>
      </c>
      <c r="E13" s="6" t="s">
        <v>29</v>
      </c>
      <c r="F13" s="6" t="s">
        <v>39</v>
      </c>
      <c r="G13" s="6" t="s">
        <v>31</v>
      </c>
      <c r="H13" s="6">
        <v>8</v>
      </c>
      <c r="I13" s="8">
        <v>241.81</v>
      </c>
      <c r="J13" s="8">
        <v>166.91</v>
      </c>
      <c r="K13" s="6" t="s">
        <v>41</v>
      </c>
      <c r="L13" s="9">
        <f t="shared" si="0"/>
        <v>1934.48</v>
      </c>
      <c r="M13" s="10">
        <f t="shared" si="1"/>
        <v>1335.28</v>
      </c>
      <c r="N13" s="10">
        <f t="shared" si="2"/>
        <v>599.20000000000005</v>
      </c>
      <c r="O13" s="11">
        <f t="shared" si="3"/>
        <v>0.30974732227782142</v>
      </c>
      <c r="P13" t="str">
        <f t="shared" si="4"/>
        <v>February</v>
      </c>
      <c r="Q13" t="str">
        <f t="shared" si="5"/>
        <v>Q1</v>
      </c>
      <c r="R13" t="str">
        <f t="shared" si="6"/>
        <v>Low</v>
      </c>
    </row>
    <row r="14" spans="1:18" x14ac:dyDescent="0.3">
      <c r="A14" s="6" t="s">
        <v>53</v>
      </c>
      <c r="B14" s="7">
        <v>45841</v>
      </c>
      <c r="C14" s="6" t="s">
        <v>54</v>
      </c>
      <c r="D14" s="6" t="s">
        <v>55</v>
      </c>
      <c r="E14" s="6" t="s">
        <v>22</v>
      </c>
      <c r="F14" s="6" t="s">
        <v>56</v>
      </c>
      <c r="G14" s="6" t="s">
        <v>57</v>
      </c>
      <c r="H14" s="6">
        <v>20</v>
      </c>
      <c r="I14" s="8">
        <v>254.89</v>
      </c>
      <c r="J14" s="8">
        <v>147.74</v>
      </c>
      <c r="K14" s="6" t="s">
        <v>32</v>
      </c>
      <c r="L14" s="9">
        <f t="shared" si="0"/>
        <v>5097.7999999999993</v>
      </c>
      <c r="M14" s="10">
        <f t="shared" si="1"/>
        <v>2954.8</v>
      </c>
      <c r="N14" s="10">
        <f t="shared" si="2"/>
        <v>2142.9999999999991</v>
      </c>
      <c r="O14" s="11">
        <f t="shared" si="3"/>
        <v>0.42037741770960008</v>
      </c>
      <c r="P14" t="str">
        <f t="shared" si="4"/>
        <v>July</v>
      </c>
      <c r="Q14" t="str">
        <f t="shared" si="5"/>
        <v>Q3</v>
      </c>
      <c r="R14" t="str">
        <f t="shared" si="6"/>
        <v>Low</v>
      </c>
    </row>
    <row r="15" spans="1:18" x14ac:dyDescent="0.3">
      <c r="A15" s="6" t="s">
        <v>58</v>
      </c>
      <c r="B15" s="7">
        <v>45961</v>
      </c>
      <c r="C15" s="6" t="s">
        <v>59</v>
      </c>
      <c r="D15" s="6" t="s">
        <v>55</v>
      </c>
      <c r="E15" s="6" t="s">
        <v>29</v>
      </c>
      <c r="F15" s="6" t="s">
        <v>50</v>
      </c>
      <c r="G15" s="6" t="s">
        <v>60</v>
      </c>
      <c r="H15" s="6">
        <v>18</v>
      </c>
      <c r="I15" s="8">
        <v>400.09</v>
      </c>
      <c r="J15" s="8">
        <v>257.49</v>
      </c>
      <c r="K15" s="6" t="s">
        <v>32</v>
      </c>
      <c r="L15" s="9">
        <f t="shared" si="0"/>
        <v>7201.62</v>
      </c>
      <c r="M15" s="10">
        <f t="shared" si="1"/>
        <v>4634.82</v>
      </c>
      <c r="N15" s="10">
        <f t="shared" si="2"/>
        <v>2566.8000000000002</v>
      </c>
      <c r="O15" s="11">
        <f t="shared" si="3"/>
        <v>0.35641980554375269</v>
      </c>
      <c r="P15" t="str">
        <f t="shared" si="4"/>
        <v>October</v>
      </c>
      <c r="Q15" t="str">
        <f t="shared" si="5"/>
        <v>Q4</v>
      </c>
      <c r="R15" t="str">
        <f t="shared" si="6"/>
        <v>Low</v>
      </c>
    </row>
    <row r="16" spans="1:18" x14ac:dyDescent="0.3">
      <c r="A16" s="6" t="s">
        <v>61</v>
      </c>
      <c r="B16" s="7">
        <v>45665</v>
      </c>
      <c r="C16" s="6" t="s">
        <v>62</v>
      </c>
      <c r="D16" s="6" t="s">
        <v>55</v>
      </c>
      <c r="E16" s="6" t="s">
        <v>29</v>
      </c>
      <c r="F16" s="6" t="s">
        <v>35</v>
      </c>
      <c r="G16" s="6" t="s">
        <v>40</v>
      </c>
      <c r="H16" s="6">
        <v>9</v>
      </c>
      <c r="I16" s="8">
        <v>553.16</v>
      </c>
      <c r="J16" s="8">
        <v>489.22</v>
      </c>
      <c r="K16" s="6" t="s">
        <v>25</v>
      </c>
      <c r="L16" s="9">
        <f t="shared" si="0"/>
        <v>4978.4399999999996</v>
      </c>
      <c r="M16" s="10">
        <f t="shared" si="1"/>
        <v>4402.9800000000005</v>
      </c>
      <c r="N16" s="10">
        <f t="shared" si="2"/>
        <v>575.45999999999913</v>
      </c>
      <c r="O16" s="11">
        <f t="shared" si="3"/>
        <v>0.11559042591655201</v>
      </c>
      <c r="P16" t="str">
        <f t="shared" si="4"/>
        <v>January</v>
      </c>
      <c r="Q16" t="str">
        <f t="shared" si="5"/>
        <v>Q1</v>
      </c>
      <c r="R16" t="str">
        <f t="shared" si="6"/>
        <v>Low</v>
      </c>
    </row>
    <row r="17" spans="1:18" x14ac:dyDescent="0.3">
      <c r="A17" s="6" t="s">
        <v>63</v>
      </c>
      <c r="B17" s="7">
        <v>45761</v>
      </c>
      <c r="C17" s="6" t="s">
        <v>64</v>
      </c>
      <c r="D17" s="6" t="s">
        <v>38</v>
      </c>
      <c r="E17" s="6" t="s">
        <v>22</v>
      </c>
      <c r="F17" s="6" t="s">
        <v>56</v>
      </c>
      <c r="G17" s="6" t="s">
        <v>65</v>
      </c>
      <c r="H17" s="6">
        <v>10</v>
      </c>
      <c r="I17" s="8">
        <v>221.67</v>
      </c>
      <c r="J17" s="8">
        <v>198.24</v>
      </c>
      <c r="K17" s="6" t="s">
        <v>41</v>
      </c>
      <c r="L17" s="9">
        <f t="shared" si="0"/>
        <v>2216.6999999999998</v>
      </c>
      <c r="M17" s="10">
        <f t="shared" si="1"/>
        <v>1982.4</v>
      </c>
      <c r="N17" s="10">
        <f t="shared" si="2"/>
        <v>234.29999999999973</v>
      </c>
      <c r="O17" s="11">
        <f t="shared" si="3"/>
        <v>0.10569765868182422</v>
      </c>
      <c r="P17" t="str">
        <f t="shared" si="4"/>
        <v>April</v>
      </c>
      <c r="Q17" t="str">
        <f t="shared" si="5"/>
        <v>Q2</v>
      </c>
      <c r="R17" t="str">
        <f t="shared" si="6"/>
        <v>Low</v>
      </c>
    </row>
    <row r="18" spans="1:18" x14ac:dyDescent="0.3">
      <c r="A18" s="6" t="s">
        <v>66</v>
      </c>
      <c r="B18" s="7">
        <v>45791</v>
      </c>
      <c r="C18" s="6" t="s">
        <v>67</v>
      </c>
      <c r="D18" s="6" t="s">
        <v>21</v>
      </c>
      <c r="E18" s="6" t="s">
        <v>22</v>
      </c>
      <c r="F18" s="6" t="s">
        <v>68</v>
      </c>
      <c r="G18" s="6" t="s">
        <v>65</v>
      </c>
      <c r="H18" s="6">
        <v>13</v>
      </c>
      <c r="I18" s="8">
        <v>1040.73</v>
      </c>
      <c r="J18" s="8">
        <v>751.64</v>
      </c>
      <c r="K18" s="6" t="s">
        <v>41</v>
      </c>
      <c r="L18" s="9">
        <f t="shared" si="0"/>
        <v>13529.49</v>
      </c>
      <c r="M18" s="10">
        <f t="shared" si="1"/>
        <v>9771.32</v>
      </c>
      <c r="N18" s="10">
        <f t="shared" si="2"/>
        <v>3758.17</v>
      </c>
      <c r="O18" s="11">
        <f t="shared" si="3"/>
        <v>0.27777617633776291</v>
      </c>
      <c r="P18" t="str">
        <f t="shared" si="4"/>
        <v>May</v>
      </c>
      <c r="Q18" t="str">
        <f t="shared" si="5"/>
        <v>Q2</v>
      </c>
      <c r="R18" t="str">
        <f t="shared" si="6"/>
        <v>High</v>
      </c>
    </row>
    <row r="19" spans="1:18" x14ac:dyDescent="0.3">
      <c r="A19" s="6" t="s">
        <v>69</v>
      </c>
      <c r="B19" s="7">
        <v>45734</v>
      </c>
      <c r="C19" s="6" t="s">
        <v>70</v>
      </c>
      <c r="D19" s="6" t="s">
        <v>38</v>
      </c>
      <c r="E19" s="6" t="s">
        <v>46</v>
      </c>
      <c r="F19" s="6" t="s">
        <v>47</v>
      </c>
      <c r="G19" s="6" t="s">
        <v>60</v>
      </c>
      <c r="H19" s="6">
        <v>5</v>
      </c>
      <c r="I19" s="8">
        <v>971.28</v>
      </c>
      <c r="J19" s="8">
        <v>529.54999999999995</v>
      </c>
      <c r="K19" s="6" t="s">
        <v>32</v>
      </c>
      <c r="L19" s="9">
        <f t="shared" si="0"/>
        <v>4856.3999999999996</v>
      </c>
      <c r="M19" s="10">
        <f t="shared" si="1"/>
        <v>2647.75</v>
      </c>
      <c r="N19" s="10">
        <f t="shared" si="2"/>
        <v>2208.6499999999996</v>
      </c>
      <c r="O19" s="11">
        <f t="shared" si="3"/>
        <v>0.45479161518820521</v>
      </c>
      <c r="P19" t="str">
        <f t="shared" si="4"/>
        <v>March</v>
      </c>
      <c r="Q19" t="str">
        <f t="shared" si="5"/>
        <v>Q1</v>
      </c>
      <c r="R19" t="str">
        <f t="shared" si="6"/>
        <v>Low</v>
      </c>
    </row>
    <row r="20" spans="1:18" x14ac:dyDescent="0.3">
      <c r="A20" s="6" t="s">
        <v>71</v>
      </c>
      <c r="B20" s="7">
        <v>45798</v>
      </c>
      <c r="C20" s="6" t="s">
        <v>72</v>
      </c>
      <c r="D20" s="6" t="s">
        <v>21</v>
      </c>
      <c r="E20" s="6" t="s">
        <v>46</v>
      </c>
      <c r="F20" s="6" t="s">
        <v>73</v>
      </c>
      <c r="G20" s="6" t="s">
        <v>40</v>
      </c>
      <c r="H20" s="6">
        <v>10</v>
      </c>
      <c r="I20" s="8">
        <v>1079.77</v>
      </c>
      <c r="J20" s="8">
        <v>896.11</v>
      </c>
      <c r="K20" s="6" t="s">
        <v>32</v>
      </c>
      <c r="L20" s="9">
        <f t="shared" si="0"/>
        <v>10797.7</v>
      </c>
      <c r="M20" s="10">
        <f t="shared" si="1"/>
        <v>8961.1</v>
      </c>
      <c r="N20" s="10">
        <f t="shared" si="2"/>
        <v>1836.6000000000004</v>
      </c>
      <c r="O20" s="11">
        <f t="shared" si="3"/>
        <v>0.17009177880474546</v>
      </c>
      <c r="P20" t="str">
        <f t="shared" si="4"/>
        <v>May</v>
      </c>
      <c r="Q20" t="str">
        <f t="shared" si="5"/>
        <v>Q2</v>
      </c>
      <c r="R20" t="str">
        <f t="shared" si="6"/>
        <v>High</v>
      </c>
    </row>
    <row r="21" spans="1:18" x14ac:dyDescent="0.3">
      <c r="A21" s="6" t="s">
        <v>74</v>
      </c>
      <c r="B21" s="7">
        <v>45675</v>
      </c>
      <c r="C21" s="6" t="s">
        <v>75</v>
      </c>
      <c r="D21" s="6" t="s">
        <v>28</v>
      </c>
      <c r="E21" s="6" t="s">
        <v>22</v>
      </c>
      <c r="F21" s="6" t="s">
        <v>23</v>
      </c>
      <c r="G21" s="6" t="s">
        <v>65</v>
      </c>
      <c r="H21" s="6">
        <v>18</v>
      </c>
      <c r="I21" s="8">
        <v>1430.72</v>
      </c>
      <c r="J21" s="8">
        <v>847.46</v>
      </c>
      <c r="K21" s="6" t="s">
        <v>32</v>
      </c>
      <c r="L21" s="9">
        <f t="shared" si="0"/>
        <v>25752.959999999999</v>
      </c>
      <c r="M21" s="10">
        <f t="shared" si="1"/>
        <v>15254.28</v>
      </c>
      <c r="N21" s="10">
        <f t="shared" si="2"/>
        <v>10498.679999999998</v>
      </c>
      <c r="O21" s="11">
        <f t="shared" si="3"/>
        <v>0.40766886602549762</v>
      </c>
      <c r="P21" t="str">
        <f t="shared" si="4"/>
        <v>January</v>
      </c>
      <c r="Q21" t="str">
        <f t="shared" si="5"/>
        <v>Q1</v>
      </c>
      <c r="R21" t="str">
        <f t="shared" si="6"/>
        <v>High</v>
      </c>
    </row>
    <row r="22" spans="1:18" x14ac:dyDescent="0.3">
      <c r="A22" s="6" t="s">
        <v>76</v>
      </c>
      <c r="B22" s="7">
        <v>45877</v>
      </c>
      <c r="C22" s="6" t="s">
        <v>77</v>
      </c>
      <c r="D22" s="6" t="s">
        <v>55</v>
      </c>
      <c r="E22" s="6" t="s">
        <v>29</v>
      </c>
      <c r="F22" s="6" t="s">
        <v>35</v>
      </c>
      <c r="G22" s="6" t="s">
        <v>60</v>
      </c>
      <c r="H22" s="6">
        <v>14</v>
      </c>
      <c r="I22" s="8">
        <v>1047.48</v>
      </c>
      <c r="J22" s="8">
        <v>792.38</v>
      </c>
      <c r="K22" s="6" t="s">
        <v>25</v>
      </c>
      <c r="L22" s="9">
        <f t="shared" si="0"/>
        <v>14664.720000000001</v>
      </c>
      <c r="M22" s="10">
        <f t="shared" si="1"/>
        <v>11093.32</v>
      </c>
      <c r="N22" s="10">
        <f t="shared" si="2"/>
        <v>3571.4000000000015</v>
      </c>
      <c r="O22" s="11">
        <f t="shared" si="3"/>
        <v>0.24353686943903471</v>
      </c>
      <c r="P22" t="str">
        <f t="shared" si="4"/>
        <v>August</v>
      </c>
      <c r="Q22" t="str">
        <f t="shared" si="5"/>
        <v>Q3</v>
      </c>
      <c r="R22" t="str">
        <f t="shared" si="6"/>
        <v>High</v>
      </c>
    </row>
    <row r="23" spans="1:18" x14ac:dyDescent="0.3">
      <c r="A23" s="6" t="s">
        <v>78</v>
      </c>
      <c r="B23" s="7">
        <v>45716</v>
      </c>
      <c r="C23" s="6" t="s">
        <v>79</v>
      </c>
      <c r="D23" s="6" t="s">
        <v>55</v>
      </c>
      <c r="E23" s="6" t="s">
        <v>46</v>
      </c>
      <c r="F23" s="6" t="s">
        <v>80</v>
      </c>
      <c r="G23" s="6" t="s">
        <v>40</v>
      </c>
      <c r="H23" s="6">
        <v>16</v>
      </c>
      <c r="I23" s="8">
        <v>1052.03</v>
      </c>
      <c r="J23" s="8">
        <v>551.59</v>
      </c>
      <c r="K23" s="6" t="s">
        <v>32</v>
      </c>
      <c r="L23" s="9">
        <f t="shared" si="0"/>
        <v>16832.48</v>
      </c>
      <c r="M23" s="10">
        <f t="shared" si="1"/>
        <v>8825.44</v>
      </c>
      <c r="N23" s="10">
        <f t="shared" si="2"/>
        <v>8007.0399999999991</v>
      </c>
      <c r="O23" s="11">
        <f t="shared" si="3"/>
        <v>0.47568985675313435</v>
      </c>
      <c r="P23" t="str">
        <f t="shared" si="4"/>
        <v>February</v>
      </c>
      <c r="Q23" t="str">
        <f t="shared" si="5"/>
        <v>Q1</v>
      </c>
      <c r="R23" t="str">
        <f t="shared" si="6"/>
        <v>High</v>
      </c>
    </row>
    <row r="24" spans="1:18" x14ac:dyDescent="0.3">
      <c r="A24" s="6" t="s">
        <v>81</v>
      </c>
      <c r="B24" s="7">
        <v>45687</v>
      </c>
      <c r="C24" s="6" t="s">
        <v>64</v>
      </c>
      <c r="D24" s="6" t="s">
        <v>21</v>
      </c>
      <c r="E24" s="6" t="s">
        <v>22</v>
      </c>
      <c r="F24" s="6" t="s">
        <v>82</v>
      </c>
      <c r="G24" s="6" t="s">
        <v>60</v>
      </c>
      <c r="H24" s="6">
        <v>14</v>
      </c>
      <c r="I24" s="8">
        <v>979.22</v>
      </c>
      <c r="J24" s="8">
        <v>767.02</v>
      </c>
      <c r="K24" s="6" t="s">
        <v>32</v>
      </c>
      <c r="L24" s="9">
        <f t="shared" si="0"/>
        <v>13709.08</v>
      </c>
      <c r="M24" s="10">
        <f t="shared" si="1"/>
        <v>10738.279999999999</v>
      </c>
      <c r="N24" s="10">
        <f t="shared" si="2"/>
        <v>2970.8000000000011</v>
      </c>
      <c r="O24" s="11">
        <f t="shared" si="3"/>
        <v>0.21670309021466072</v>
      </c>
      <c r="P24" t="str">
        <f t="shared" si="4"/>
        <v>January</v>
      </c>
      <c r="Q24" t="str">
        <f t="shared" si="5"/>
        <v>Q1</v>
      </c>
      <c r="R24" t="str">
        <f t="shared" si="6"/>
        <v>High</v>
      </c>
    </row>
    <row r="25" spans="1:18" x14ac:dyDescent="0.3">
      <c r="A25" s="6" t="s">
        <v>83</v>
      </c>
      <c r="B25" s="7">
        <v>45745</v>
      </c>
      <c r="C25" s="6" t="s">
        <v>84</v>
      </c>
      <c r="D25" s="6" t="s">
        <v>28</v>
      </c>
      <c r="E25" s="6" t="s">
        <v>46</v>
      </c>
      <c r="F25" s="6" t="s">
        <v>85</v>
      </c>
      <c r="G25" s="6" t="s">
        <v>57</v>
      </c>
      <c r="H25" s="6">
        <v>20</v>
      </c>
      <c r="I25" s="8">
        <v>1068.4000000000001</v>
      </c>
      <c r="J25" s="8">
        <v>649.84</v>
      </c>
      <c r="K25" s="6" t="s">
        <v>25</v>
      </c>
      <c r="L25" s="9">
        <f t="shared" si="0"/>
        <v>21368</v>
      </c>
      <c r="M25" s="10">
        <f t="shared" si="1"/>
        <v>12996.800000000001</v>
      </c>
      <c r="N25" s="10">
        <f t="shared" si="2"/>
        <v>8371.1999999999989</v>
      </c>
      <c r="O25" s="11">
        <f t="shared" si="3"/>
        <v>0.39176338450018716</v>
      </c>
      <c r="P25" t="str">
        <f t="shared" si="4"/>
        <v>March</v>
      </c>
      <c r="Q25" t="str">
        <f t="shared" si="5"/>
        <v>Q1</v>
      </c>
      <c r="R25" t="str">
        <f t="shared" si="6"/>
        <v>High</v>
      </c>
    </row>
    <row r="26" spans="1:18" x14ac:dyDescent="0.3">
      <c r="A26" s="6" t="s">
        <v>86</v>
      </c>
      <c r="B26" s="7">
        <v>45851</v>
      </c>
      <c r="C26" s="6" t="s">
        <v>87</v>
      </c>
      <c r="D26" s="6" t="s">
        <v>28</v>
      </c>
      <c r="E26" s="6" t="s">
        <v>46</v>
      </c>
      <c r="F26" s="6" t="s">
        <v>85</v>
      </c>
      <c r="G26" s="6" t="s">
        <v>40</v>
      </c>
      <c r="H26" s="6">
        <v>13</v>
      </c>
      <c r="I26" s="8">
        <v>485.23</v>
      </c>
      <c r="J26" s="8">
        <v>352.47</v>
      </c>
      <c r="K26" s="6" t="s">
        <v>41</v>
      </c>
      <c r="L26" s="9">
        <f t="shared" si="0"/>
        <v>6307.99</v>
      </c>
      <c r="M26" s="10">
        <f t="shared" si="1"/>
        <v>4582.1100000000006</v>
      </c>
      <c r="N26" s="10">
        <f t="shared" si="2"/>
        <v>1725.8799999999992</v>
      </c>
      <c r="O26" s="11">
        <f t="shared" si="3"/>
        <v>0.27360220926158718</v>
      </c>
      <c r="P26" t="str">
        <f t="shared" si="4"/>
        <v>July</v>
      </c>
      <c r="Q26" t="str">
        <f t="shared" si="5"/>
        <v>Q3</v>
      </c>
      <c r="R26" t="str">
        <f t="shared" si="6"/>
        <v>Low</v>
      </c>
    </row>
    <row r="27" spans="1:18" x14ac:dyDescent="0.3">
      <c r="A27" s="6" t="s">
        <v>88</v>
      </c>
      <c r="B27" s="7">
        <v>45975</v>
      </c>
      <c r="C27" s="6" t="s">
        <v>75</v>
      </c>
      <c r="D27" s="6" t="s">
        <v>21</v>
      </c>
      <c r="E27" s="6" t="s">
        <v>29</v>
      </c>
      <c r="F27" s="6" t="s">
        <v>50</v>
      </c>
      <c r="G27" s="6" t="s">
        <v>65</v>
      </c>
      <c r="H27" s="6">
        <v>16</v>
      </c>
      <c r="I27" s="8">
        <v>1050.01</v>
      </c>
      <c r="J27" s="8">
        <v>867.61</v>
      </c>
      <c r="K27" s="6" t="s">
        <v>32</v>
      </c>
      <c r="L27" s="9">
        <f t="shared" si="0"/>
        <v>16800.16</v>
      </c>
      <c r="M27" s="10">
        <f t="shared" si="1"/>
        <v>13881.76</v>
      </c>
      <c r="N27" s="10">
        <f t="shared" si="2"/>
        <v>2918.3999999999996</v>
      </c>
      <c r="O27" s="11">
        <f t="shared" si="3"/>
        <v>0.17371263130827325</v>
      </c>
      <c r="P27" t="str">
        <f t="shared" si="4"/>
        <v>November</v>
      </c>
      <c r="Q27" t="str">
        <f t="shared" si="5"/>
        <v>Q4</v>
      </c>
      <c r="R27" t="str">
        <f t="shared" si="6"/>
        <v>High</v>
      </c>
    </row>
    <row r="28" spans="1:18" x14ac:dyDescent="0.3">
      <c r="A28" s="6" t="s">
        <v>89</v>
      </c>
      <c r="B28" s="7">
        <v>45838</v>
      </c>
      <c r="C28" s="6" t="s">
        <v>90</v>
      </c>
      <c r="D28" s="6" t="s">
        <v>38</v>
      </c>
      <c r="E28" s="6" t="s">
        <v>22</v>
      </c>
      <c r="F28" s="6" t="s">
        <v>68</v>
      </c>
      <c r="G28" s="6" t="s">
        <v>24</v>
      </c>
      <c r="H28" s="6">
        <v>19</v>
      </c>
      <c r="I28" s="8">
        <v>965.74</v>
      </c>
      <c r="J28" s="8">
        <v>516.61</v>
      </c>
      <c r="K28" s="6" t="s">
        <v>41</v>
      </c>
      <c r="L28" s="9">
        <f t="shared" si="0"/>
        <v>18349.060000000001</v>
      </c>
      <c r="M28" s="10">
        <f t="shared" si="1"/>
        <v>9815.59</v>
      </c>
      <c r="N28" s="10">
        <f t="shared" si="2"/>
        <v>8533.4700000000012</v>
      </c>
      <c r="O28" s="11">
        <f t="shared" si="3"/>
        <v>0.46506306045105311</v>
      </c>
      <c r="P28" t="str">
        <f t="shared" si="4"/>
        <v>June</v>
      </c>
      <c r="Q28" t="str">
        <f t="shared" si="5"/>
        <v>Q2</v>
      </c>
      <c r="R28" t="str">
        <f t="shared" si="6"/>
        <v>High</v>
      </c>
    </row>
    <row r="29" spans="1:18" x14ac:dyDescent="0.3">
      <c r="A29" s="6" t="s">
        <v>91</v>
      </c>
      <c r="B29" s="7">
        <v>45935</v>
      </c>
      <c r="C29" s="6" t="s">
        <v>92</v>
      </c>
      <c r="D29" s="6" t="s">
        <v>21</v>
      </c>
      <c r="E29" s="6" t="s">
        <v>22</v>
      </c>
      <c r="F29" s="6" t="s">
        <v>23</v>
      </c>
      <c r="G29" s="6" t="s">
        <v>60</v>
      </c>
      <c r="H29" s="6">
        <v>13</v>
      </c>
      <c r="I29" s="8">
        <v>1109.3800000000001</v>
      </c>
      <c r="J29" s="8">
        <v>762.68</v>
      </c>
      <c r="K29" s="6" t="s">
        <v>25</v>
      </c>
      <c r="L29" s="9">
        <f t="shared" si="0"/>
        <v>14421.940000000002</v>
      </c>
      <c r="M29" s="10">
        <f t="shared" si="1"/>
        <v>9914.84</v>
      </c>
      <c r="N29" s="10">
        <f t="shared" si="2"/>
        <v>4507.1000000000022</v>
      </c>
      <c r="O29" s="11">
        <f t="shared" si="3"/>
        <v>0.31251690133227578</v>
      </c>
      <c r="P29" t="str">
        <f t="shared" si="4"/>
        <v>October</v>
      </c>
      <c r="Q29" t="str">
        <f t="shared" si="5"/>
        <v>Q4</v>
      </c>
      <c r="R29" t="str">
        <f t="shared" si="6"/>
        <v>High</v>
      </c>
    </row>
    <row r="30" spans="1:18" x14ac:dyDescent="0.3">
      <c r="A30" s="6" t="s">
        <v>93</v>
      </c>
      <c r="B30" s="7">
        <v>45871</v>
      </c>
      <c r="C30" s="6" t="s">
        <v>94</v>
      </c>
      <c r="D30" s="6" t="s">
        <v>21</v>
      </c>
      <c r="E30" s="6" t="s">
        <v>46</v>
      </c>
      <c r="F30" s="6" t="s">
        <v>85</v>
      </c>
      <c r="G30" s="6" t="s">
        <v>24</v>
      </c>
      <c r="H30" s="6">
        <v>16</v>
      </c>
      <c r="I30" s="8">
        <v>725.97</v>
      </c>
      <c r="J30" s="8">
        <v>641.73</v>
      </c>
      <c r="K30" s="6" t="s">
        <v>41</v>
      </c>
      <c r="L30" s="9">
        <f t="shared" si="0"/>
        <v>11615.52</v>
      </c>
      <c r="M30" s="10">
        <f t="shared" si="1"/>
        <v>10267.68</v>
      </c>
      <c r="N30" s="10">
        <f t="shared" si="2"/>
        <v>1347.8400000000001</v>
      </c>
      <c r="O30" s="11">
        <f t="shared" si="3"/>
        <v>0.11603785280383487</v>
      </c>
      <c r="P30" t="str">
        <f t="shared" si="4"/>
        <v>August</v>
      </c>
      <c r="Q30" t="str">
        <f t="shared" si="5"/>
        <v>Q3</v>
      </c>
      <c r="R30" t="str">
        <f t="shared" si="6"/>
        <v>High</v>
      </c>
    </row>
    <row r="31" spans="1:18" x14ac:dyDescent="0.3">
      <c r="A31" s="6" t="s">
        <v>95</v>
      </c>
      <c r="B31" s="7">
        <v>45895</v>
      </c>
      <c r="C31" s="6" t="s">
        <v>96</v>
      </c>
      <c r="D31" s="6" t="s">
        <v>55</v>
      </c>
      <c r="E31" s="6" t="s">
        <v>29</v>
      </c>
      <c r="F31" s="6" t="s">
        <v>35</v>
      </c>
      <c r="G31" s="6" t="s">
        <v>31</v>
      </c>
      <c r="H31" s="6">
        <v>18</v>
      </c>
      <c r="I31" s="8">
        <v>1406.43</v>
      </c>
      <c r="J31" s="8">
        <v>913.2</v>
      </c>
      <c r="K31" s="6" t="s">
        <v>41</v>
      </c>
      <c r="L31" s="9">
        <f t="shared" si="0"/>
        <v>25315.74</v>
      </c>
      <c r="M31" s="10">
        <f t="shared" si="1"/>
        <v>16437.600000000002</v>
      </c>
      <c r="N31" s="10">
        <f t="shared" si="2"/>
        <v>8878.14</v>
      </c>
      <c r="O31" s="11">
        <f t="shared" si="3"/>
        <v>0.35069644418847717</v>
      </c>
      <c r="P31" t="str">
        <f t="shared" si="4"/>
        <v>August</v>
      </c>
      <c r="Q31" t="str">
        <f t="shared" si="5"/>
        <v>Q3</v>
      </c>
      <c r="R31" t="str">
        <f t="shared" si="6"/>
        <v>High</v>
      </c>
    </row>
    <row r="32" spans="1:18" x14ac:dyDescent="0.3">
      <c r="A32" s="6" t="s">
        <v>97</v>
      </c>
      <c r="B32" s="7">
        <v>45927</v>
      </c>
      <c r="C32" s="6" t="s">
        <v>98</v>
      </c>
      <c r="D32" s="6" t="s">
        <v>28</v>
      </c>
      <c r="E32" s="6" t="s">
        <v>46</v>
      </c>
      <c r="F32" s="6" t="s">
        <v>73</v>
      </c>
      <c r="G32" s="6" t="s">
        <v>40</v>
      </c>
      <c r="H32" s="6">
        <v>11</v>
      </c>
      <c r="I32" s="8">
        <v>23.74</v>
      </c>
      <c r="J32" s="8">
        <v>18.399999999999999</v>
      </c>
      <c r="K32" s="6" t="s">
        <v>41</v>
      </c>
      <c r="L32" s="9">
        <f t="shared" si="0"/>
        <v>261.14</v>
      </c>
      <c r="M32" s="10">
        <f t="shared" si="1"/>
        <v>202.39999999999998</v>
      </c>
      <c r="N32" s="10">
        <f t="shared" si="2"/>
        <v>58.740000000000009</v>
      </c>
      <c r="O32" s="11">
        <f t="shared" si="3"/>
        <v>0.22493681550126374</v>
      </c>
      <c r="P32" t="str">
        <f t="shared" si="4"/>
        <v>September</v>
      </c>
      <c r="Q32" t="str">
        <f t="shared" si="5"/>
        <v>Q3</v>
      </c>
      <c r="R32" t="str">
        <f t="shared" si="6"/>
        <v>Low</v>
      </c>
    </row>
    <row r="33" spans="1:18" x14ac:dyDescent="0.3">
      <c r="A33" s="6" t="s">
        <v>99</v>
      </c>
      <c r="B33" s="7">
        <v>45917</v>
      </c>
      <c r="C33" s="6" t="s">
        <v>67</v>
      </c>
      <c r="D33" s="6" t="s">
        <v>38</v>
      </c>
      <c r="E33" s="6" t="s">
        <v>29</v>
      </c>
      <c r="F33" s="6" t="s">
        <v>30</v>
      </c>
      <c r="G33" s="6" t="s">
        <v>31</v>
      </c>
      <c r="H33" s="6">
        <v>7</v>
      </c>
      <c r="I33" s="8">
        <v>1326.7</v>
      </c>
      <c r="J33" s="8">
        <v>857.56</v>
      </c>
      <c r="K33" s="6" t="s">
        <v>41</v>
      </c>
      <c r="L33" s="9">
        <f t="shared" si="0"/>
        <v>9286.9</v>
      </c>
      <c r="M33" s="10">
        <f t="shared" si="1"/>
        <v>6002.92</v>
      </c>
      <c r="N33" s="10">
        <f t="shared" si="2"/>
        <v>3283.9799999999996</v>
      </c>
      <c r="O33" s="11">
        <f t="shared" si="3"/>
        <v>0.35361423079822113</v>
      </c>
      <c r="P33" t="str">
        <f t="shared" si="4"/>
        <v>September</v>
      </c>
      <c r="Q33" t="str">
        <f t="shared" si="5"/>
        <v>Q3</v>
      </c>
      <c r="R33" t="str">
        <f t="shared" si="6"/>
        <v>Low</v>
      </c>
    </row>
    <row r="34" spans="1:18" x14ac:dyDescent="0.3">
      <c r="A34" s="6" t="s">
        <v>100</v>
      </c>
      <c r="B34" s="7">
        <v>45949</v>
      </c>
      <c r="C34" s="6" t="s">
        <v>101</v>
      </c>
      <c r="D34" s="6" t="s">
        <v>28</v>
      </c>
      <c r="E34" s="6" t="s">
        <v>22</v>
      </c>
      <c r="F34" s="6" t="s">
        <v>82</v>
      </c>
      <c r="G34" s="6" t="s">
        <v>40</v>
      </c>
      <c r="H34" s="6">
        <v>3</v>
      </c>
      <c r="I34" s="8">
        <v>942.3</v>
      </c>
      <c r="J34" s="8">
        <v>535.54</v>
      </c>
      <c r="K34" s="6" t="s">
        <v>41</v>
      </c>
      <c r="L34" s="9">
        <f t="shared" si="0"/>
        <v>2826.8999999999996</v>
      </c>
      <c r="M34" s="10">
        <f t="shared" si="1"/>
        <v>1606.62</v>
      </c>
      <c r="N34" s="10">
        <f t="shared" si="2"/>
        <v>1220.2799999999997</v>
      </c>
      <c r="O34" s="11">
        <f t="shared" si="3"/>
        <v>0.4316671972832431</v>
      </c>
      <c r="P34" t="str">
        <f t="shared" si="4"/>
        <v>October</v>
      </c>
      <c r="Q34" t="str">
        <f t="shared" si="5"/>
        <v>Q4</v>
      </c>
      <c r="R34" t="str">
        <f t="shared" si="6"/>
        <v>Low</v>
      </c>
    </row>
    <row r="35" spans="1:18" x14ac:dyDescent="0.3">
      <c r="A35" s="6" t="s">
        <v>102</v>
      </c>
      <c r="B35" s="7">
        <v>45903</v>
      </c>
      <c r="C35" s="6" t="s">
        <v>101</v>
      </c>
      <c r="D35" s="6" t="s">
        <v>21</v>
      </c>
      <c r="E35" s="6" t="s">
        <v>29</v>
      </c>
      <c r="F35" s="6" t="s">
        <v>35</v>
      </c>
      <c r="G35" s="6" t="s">
        <v>40</v>
      </c>
      <c r="H35" s="6">
        <v>11</v>
      </c>
      <c r="I35" s="8">
        <v>584.78</v>
      </c>
      <c r="J35" s="8">
        <v>479.85</v>
      </c>
      <c r="K35" s="6" t="s">
        <v>41</v>
      </c>
      <c r="L35" s="9">
        <f t="shared" si="0"/>
        <v>6432.58</v>
      </c>
      <c r="M35" s="10">
        <f t="shared" si="1"/>
        <v>5278.35</v>
      </c>
      <c r="N35" s="10">
        <f t="shared" si="2"/>
        <v>1154.2299999999996</v>
      </c>
      <c r="O35" s="11">
        <f t="shared" si="3"/>
        <v>0.17943500119703129</v>
      </c>
      <c r="P35" t="str">
        <f t="shared" si="4"/>
        <v>September</v>
      </c>
      <c r="Q35" t="str">
        <f t="shared" si="5"/>
        <v>Q3</v>
      </c>
      <c r="R35" t="str">
        <f t="shared" si="6"/>
        <v>Low</v>
      </c>
    </row>
    <row r="36" spans="1:18" x14ac:dyDescent="0.3">
      <c r="A36" s="6" t="s">
        <v>103</v>
      </c>
      <c r="B36" s="7">
        <v>45698</v>
      </c>
      <c r="C36" s="6" t="s">
        <v>27</v>
      </c>
      <c r="D36" s="6" t="s">
        <v>21</v>
      </c>
      <c r="E36" s="6" t="s">
        <v>29</v>
      </c>
      <c r="F36" s="6" t="s">
        <v>39</v>
      </c>
      <c r="G36" s="6" t="s">
        <v>57</v>
      </c>
      <c r="H36" s="6">
        <v>8</v>
      </c>
      <c r="I36" s="8">
        <v>599.94000000000005</v>
      </c>
      <c r="J36" s="8">
        <v>522.33000000000004</v>
      </c>
      <c r="K36" s="6" t="s">
        <v>32</v>
      </c>
      <c r="L36" s="9">
        <f t="shared" si="0"/>
        <v>4799.5200000000004</v>
      </c>
      <c r="M36" s="10">
        <f t="shared" si="1"/>
        <v>4178.6400000000003</v>
      </c>
      <c r="N36" s="10">
        <f t="shared" si="2"/>
        <v>620.88000000000011</v>
      </c>
      <c r="O36" s="11">
        <f t="shared" si="3"/>
        <v>0.12936293629362938</v>
      </c>
      <c r="P36" t="str">
        <f t="shared" si="4"/>
        <v>February</v>
      </c>
      <c r="Q36" t="str">
        <f t="shared" si="5"/>
        <v>Q1</v>
      </c>
      <c r="R36" t="str">
        <f t="shared" si="6"/>
        <v>Low</v>
      </c>
    </row>
    <row r="37" spans="1:18" x14ac:dyDescent="0.3">
      <c r="A37" s="6" t="s">
        <v>104</v>
      </c>
      <c r="B37" s="7">
        <v>45699</v>
      </c>
      <c r="C37" s="6" t="s">
        <v>105</v>
      </c>
      <c r="D37" s="6" t="s">
        <v>28</v>
      </c>
      <c r="E37" s="6" t="s">
        <v>22</v>
      </c>
      <c r="F37" s="6" t="s">
        <v>56</v>
      </c>
      <c r="G37" s="6" t="s">
        <v>31</v>
      </c>
      <c r="H37" s="6">
        <v>6</v>
      </c>
      <c r="I37" s="8">
        <v>845.9</v>
      </c>
      <c r="J37" s="8">
        <v>667.11</v>
      </c>
      <c r="K37" s="6" t="s">
        <v>41</v>
      </c>
      <c r="L37" s="9">
        <f t="shared" si="0"/>
        <v>5075.3999999999996</v>
      </c>
      <c r="M37" s="10">
        <f t="shared" si="1"/>
        <v>4002.66</v>
      </c>
      <c r="N37" s="10">
        <f t="shared" si="2"/>
        <v>1072.7399999999998</v>
      </c>
      <c r="O37" s="11">
        <f t="shared" si="3"/>
        <v>0.21136068093155216</v>
      </c>
      <c r="P37" t="str">
        <f t="shared" si="4"/>
        <v>February</v>
      </c>
      <c r="Q37" t="str">
        <f t="shared" si="5"/>
        <v>Q1</v>
      </c>
      <c r="R37" t="str">
        <f t="shared" si="6"/>
        <v>Low</v>
      </c>
    </row>
    <row r="38" spans="1:18" x14ac:dyDescent="0.3">
      <c r="A38" s="6" t="s">
        <v>106</v>
      </c>
      <c r="B38" s="7">
        <v>45761</v>
      </c>
      <c r="C38" s="6" t="s">
        <v>90</v>
      </c>
      <c r="D38" s="6" t="s">
        <v>38</v>
      </c>
      <c r="E38" s="6" t="s">
        <v>29</v>
      </c>
      <c r="F38" s="6" t="s">
        <v>35</v>
      </c>
      <c r="G38" s="6" t="s">
        <v>60</v>
      </c>
      <c r="H38" s="6">
        <v>15</v>
      </c>
      <c r="I38" s="8">
        <v>565.01</v>
      </c>
      <c r="J38" s="8">
        <v>299.32</v>
      </c>
      <c r="K38" s="6" t="s">
        <v>41</v>
      </c>
      <c r="L38" s="9">
        <f t="shared" si="0"/>
        <v>8475.15</v>
      </c>
      <c r="M38" s="10">
        <f t="shared" si="1"/>
        <v>4489.8</v>
      </c>
      <c r="N38" s="10">
        <f t="shared" si="2"/>
        <v>3985.3499999999995</v>
      </c>
      <c r="O38" s="11">
        <f t="shared" si="3"/>
        <v>0.47023946478823381</v>
      </c>
      <c r="P38" t="str">
        <f t="shared" si="4"/>
        <v>April</v>
      </c>
      <c r="Q38" t="str">
        <f t="shared" si="5"/>
        <v>Q2</v>
      </c>
      <c r="R38" t="str">
        <f t="shared" si="6"/>
        <v>Low</v>
      </c>
    </row>
    <row r="39" spans="1:18" x14ac:dyDescent="0.3">
      <c r="A39" s="6" t="s">
        <v>107</v>
      </c>
      <c r="B39" s="7">
        <v>45842</v>
      </c>
      <c r="C39" s="6" t="s">
        <v>108</v>
      </c>
      <c r="D39" s="6" t="s">
        <v>21</v>
      </c>
      <c r="E39" s="6" t="s">
        <v>46</v>
      </c>
      <c r="F39" s="6" t="s">
        <v>85</v>
      </c>
      <c r="G39" s="6" t="s">
        <v>40</v>
      </c>
      <c r="H39" s="6">
        <v>7</v>
      </c>
      <c r="I39" s="8">
        <v>420.34</v>
      </c>
      <c r="J39" s="8">
        <v>253.23</v>
      </c>
      <c r="K39" s="6" t="s">
        <v>41</v>
      </c>
      <c r="L39" s="9">
        <f t="shared" si="0"/>
        <v>2942.3799999999997</v>
      </c>
      <c r="M39" s="10">
        <f t="shared" si="1"/>
        <v>1772.61</v>
      </c>
      <c r="N39" s="10">
        <f t="shared" si="2"/>
        <v>1169.7699999999998</v>
      </c>
      <c r="O39" s="11">
        <f t="shared" si="3"/>
        <v>0.39755911880858347</v>
      </c>
      <c r="P39" t="str">
        <f t="shared" si="4"/>
        <v>July</v>
      </c>
      <c r="Q39" t="str">
        <f t="shared" si="5"/>
        <v>Q3</v>
      </c>
      <c r="R39" t="str">
        <f t="shared" si="6"/>
        <v>Low</v>
      </c>
    </row>
    <row r="40" spans="1:18" x14ac:dyDescent="0.3">
      <c r="A40" s="6" t="s">
        <v>109</v>
      </c>
      <c r="B40" s="7">
        <v>45925</v>
      </c>
      <c r="C40" s="6" t="s">
        <v>105</v>
      </c>
      <c r="D40" s="6" t="s">
        <v>28</v>
      </c>
      <c r="E40" s="6" t="s">
        <v>29</v>
      </c>
      <c r="F40" s="6" t="s">
        <v>35</v>
      </c>
      <c r="G40" s="6" t="s">
        <v>65</v>
      </c>
      <c r="H40" s="6">
        <v>5</v>
      </c>
      <c r="I40" s="8">
        <v>202.16</v>
      </c>
      <c r="J40" s="8">
        <v>174.81</v>
      </c>
      <c r="K40" s="6" t="s">
        <v>41</v>
      </c>
      <c r="L40" s="9">
        <f t="shared" si="0"/>
        <v>1010.8</v>
      </c>
      <c r="M40" s="10">
        <f t="shared" si="1"/>
        <v>874.05</v>
      </c>
      <c r="N40" s="10">
        <f t="shared" si="2"/>
        <v>136.75</v>
      </c>
      <c r="O40" s="11">
        <f t="shared" si="3"/>
        <v>0.13528888009497428</v>
      </c>
      <c r="P40" t="str">
        <f t="shared" si="4"/>
        <v>September</v>
      </c>
      <c r="Q40" t="str">
        <f t="shared" si="5"/>
        <v>Q3</v>
      </c>
      <c r="R40" t="str">
        <f t="shared" si="6"/>
        <v>Low</v>
      </c>
    </row>
    <row r="41" spans="1:18" x14ac:dyDescent="0.3">
      <c r="A41" s="6" t="s">
        <v>110</v>
      </c>
      <c r="B41" s="7">
        <v>45861</v>
      </c>
      <c r="C41" s="6" t="s">
        <v>67</v>
      </c>
      <c r="D41" s="6" t="s">
        <v>38</v>
      </c>
      <c r="E41" s="6" t="s">
        <v>29</v>
      </c>
      <c r="F41" s="6" t="s">
        <v>50</v>
      </c>
      <c r="G41" s="6" t="s">
        <v>60</v>
      </c>
      <c r="H41" s="6">
        <v>14</v>
      </c>
      <c r="I41" s="8">
        <v>444.99</v>
      </c>
      <c r="J41" s="8">
        <v>378.29</v>
      </c>
      <c r="K41" s="6" t="s">
        <v>41</v>
      </c>
      <c r="L41" s="9">
        <f t="shared" si="0"/>
        <v>6229.8600000000006</v>
      </c>
      <c r="M41" s="10">
        <f t="shared" si="1"/>
        <v>5296.06</v>
      </c>
      <c r="N41" s="10">
        <f t="shared" si="2"/>
        <v>933.80000000000018</v>
      </c>
      <c r="O41" s="11">
        <f t="shared" si="3"/>
        <v>0.14989100878671432</v>
      </c>
      <c r="P41" t="str">
        <f t="shared" si="4"/>
        <v>July</v>
      </c>
      <c r="Q41" t="str">
        <f t="shared" si="5"/>
        <v>Q3</v>
      </c>
      <c r="R41" t="str">
        <f t="shared" si="6"/>
        <v>Low</v>
      </c>
    </row>
    <row r="42" spans="1:18" x14ac:dyDescent="0.3">
      <c r="A42" s="6" t="s">
        <v>111</v>
      </c>
      <c r="B42" s="7">
        <v>45738</v>
      </c>
      <c r="C42" s="6" t="s">
        <v>112</v>
      </c>
      <c r="D42" s="6" t="s">
        <v>28</v>
      </c>
      <c r="E42" s="6" t="s">
        <v>29</v>
      </c>
      <c r="F42" s="6" t="s">
        <v>35</v>
      </c>
      <c r="G42" s="6" t="s">
        <v>65</v>
      </c>
      <c r="H42" s="6">
        <v>7</v>
      </c>
      <c r="I42" s="8">
        <v>314.66000000000003</v>
      </c>
      <c r="J42" s="8">
        <v>164.22</v>
      </c>
      <c r="K42" s="6" t="s">
        <v>41</v>
      </c>
      <c r="L42" s="9">
        <f t="shared" si="0"/>
        <v>2202.6200000000003</v>
      </c>
      <c r="M42" s="10">
        <f t="shared" si="1"/>
        <v>1149.54</v>
      </c>
      <c r="N42" s="10">
        <f t="shared" si="2"/>
        <v>1053.0800000000004</v>
      </c>
      <c r="O42" s="11">
        <f t="shared" si="3"/>
        <v>0.47810334964723838</v>
      </c>
      <c r="P42" t="str">
        <f t="shared" si="4"/>
        <v>March</v>
      </c>
      <c r="Q42" t="str">
        <f t="shared" si="5"/>
        <v>Q1</v>
      </c>
      <c r="R42" t="str">
        <f t="shared" si="6"/>
        <v>Low</v>
      </c>
    </row>
    <row r="43" spans="1:18" x14ac:dyDescent="0.3">
      <c r="A43" s="6" t="s">
        <v>113</v>
      </c>
      <c r="B43" s="7">
        <v>45896</v>
      </c>
      <c r="C43" s="6" t="s">
        <v>114</v>
      </c>
      <c r="D43" s="6" t="s">
        <v>55</v>
      </c>
      <c r="E43" s="6" t="s">
        <v>46</v>
      </c>
      <c r="F43" s="6" t="s">
        <v>85</v>
      </c>
      <c r="G43" s="6" t="s">
        <v>24</v>
      </c>
      <c r="H43" s="6">
        <v>15</v>
      </c>
      <c r="I43" s="8">
        <v>317.54000000000002</v>
      </c>
      <c r="J43" s="8">
        <v>268.75</v>
      </c>
      <c r="K43" s="6" t="s">
        <v>32</v>
      </c>
      <c r="L43" s="9">
        <f t="shared" si="0"/>
        <v>4763.1000000000004</v>
      </c>
      <c r="M43" s="10">
        <f t="shared" si="1"/>
        <v>4031.25</v>
      </c>
      <c r="N43" s="10">
        <f t="shared" si="2"/>
        <v>731.85000000000036</v>
      </c>
      <c r="O43" s="11">
        <f t="shared" si="3"/>
        <v>0.15364993386659956</v>
      </c>
      <c r="P43" t="str">
        <f t="shared" si="4"/>
        <v>August</v>
      </c>
      <c r="Q43" t="str">
        <f t="shared" si="5"/>
        <v>Q3</v>
      </c>
      <c r="R43" t="str">
        <f t="shared" si="6"/>
        <v>Low</v>
      </c>
    </row>
    <row r="44" spans="1:18" x14ac:dyDescent="0.3">
      <c r="A44" s="6" t="s">
        <v>115</v>
      </c>
      <c r="B44" s="7">
        <v>46007</v>
      </c>
      <c r="C44" s="6" t="s">
        <v>116</v>
      </c>
      <c r="D44" s="6" t="s">
        <v>21</v>
      </c>
      <c r="E44" s="6" t="s">
        <v>22</v>
      </c>
      <c r="F44" s="6" t="s">
        <v>68</v>
      </c>
      <c r="G44" s="6" t="s">
        <v>65</v>
      </c>
      <c r="H44" s="6">
        <v>10</v>
      </c>
      <c r="I44" s="8">
        <v>1130.68</v>
      </c>
      <c r="J44" s="8">
        <v>842.85</v>
      </c>
      <c r="K44" s="6" t="s">
        <v>32</v>
      </c>
      <c r="L44" s="9">
        <f t="shared" si="0"/>
        <v>11306.800000000001</v>
      </c>
      <c r="M44" s="10">
        <f t="shared" si="1"/>
        <v>8428.5</v>
      </c>
      <c r="N44" s="10">
        <f t="shared" si="2"/>
        <v>2878.3000000000011</v>
      </c>
      <c r="O44" s="11">
        <f t="shared" si="3"/>
        <v>0.25456362542894551</v>
      </c>
      <c r="P44" t="str">
        <f t="shared" si="4"/>
        <v>December</v>
      </c>
      <c r="Q44" t="str">
        <f t="shared" si="5"/>
        <v>Q4</v>
      </c>
      <c r="R44" t="str">
        <f t="shared" si="6"/>
        <v>High</v>
      </c>
    </row>
    <row r="45" spans="1:18" x14ac:dyDescent="0.3">
      <c r="A45" s="6" t="s">
        <v>117</v>
      </c>
      <c r="B45" s="7">
        <v>45972</v>
      </c>
      <c r="C45" s="6" t="s">
        <v>118</v>
      </c>
      <c r="D45" s="6" t="s">
        <v>55</v>
      </c>
      <c r="E45" s="6" t="s">
        <v>46</v>
      </c>
      <c r="F45" s="6" t="s">
        <v>47</v>
      </c>
      <c r="G45" s="6" t="s">
        <v>24</v>
      </c>
      <c r="H45" s="6">
        <v>3</v>
      </c>
      <c r="I45" s="8">
        <v>1465.52</v>
      </c>
      <c r="J45" s="8">
        <v>869.33</v>
      </c>
      <c r="K45" s="6" t="s">
        <v>25</v>
      </c>
      <c r="L45" s="9">
        <f t="shared" si="0"/>
        <v>4396.5599999999995</v>
      </c>
      <c r="M45" s="10">
        <f t="shared" si="1"/>
        <v>2607.9900000000002</v>
      </c>
      <c r="N45" s="10">
        <f t="shared" si="2"/>
        <v>1788.5699999999993</v>
      </c>
      <c r="O45" s="11">
        <f t="shared" si="3"/>
        <v>0.40681123423767662</v>
      </c>
      <c r="P45" t="str">
        <f t="shared" si="4"/>
        <v>November</v>
      </c>
      <c r="Q45" t="str">
        <f t="shared" si="5"/>
        <v>Q4</v>
      </c>
      <c r="R45" t="str">
        <f t="shared" si="6"/>
        <v>Low</v>
      </c>
    </row>
    <row r="46" spans="1:18" x14ac:dyDescent="0.3">
      <c r="A46" s="6" t="s">
        <v>119</v>
      </c>
      <c r="B46" s="7">
        <v>45838</v>
      </c>
      <c r="C46" s="6" t="s">
        <v>120</v>
      </c>
      <c r="D46" s="6" t="s">
        <v>38</v>
      </c>
      <c r="E46" s="6" t="s">
        <v>22</v>
      </c>
      <c r="F46" s="6" t="s">
        <v>23</v>
      </c>
      <c r="G46" s="6" t="s">
        <v>40</v>
      </c>
      <c r="H46" s="6">
        <v>15</v>
      </c>
      <c r="I46" s="8">
        <v>862.86</v>
      </c>
      <c r="J46" s="8">
        <v>596.65</v>
      </c>
      <c r="K46" s="6" t="s">
        <v>25</v>
      </c>
      <c r="L46" s="9">
        <f t="shared" si="0"/>
        <v>12942.9</v>
      </c>
      <c r="M46" s="10">
        <f t="shared" si="1"/>
        <v>8949.75</v>
      </c>
      <c r="N46" s="10">
        <f t="shared" si="2"/>
        <v>3993.1499999999996</v>
      </c>
      <c r="O46" s="11">
        <f t="shared" si="3"/>
        <v>0.30852050158774308</v>
      </c>
      <c r="P46" t="str">
        <f t="shared" si="4"/>
        <v>June</v>
      </c>
      <c r="Q46" t="str">
        <f t="shared" si="5"/>
        <v>Q2</v>
      </c>
      <c r="R46" t="str">
        <f t="shared" si="6"/>
        <v>High</v>
      </c>
    </row>
    <row r="47" spans="1:18" x14ac:dyDescent="0.3">
      <c r="A47" s="6" t="s">
        <v>121</v>
      </c>
      <c r="B47" s="7">
        <v>45917</v>
      </c>
      <c r="C47" s="6" t="s">
        <v>94</v>
      </c>
      <c r="D47" s="6" t="s">
        <v>28</v>
      </c>
      <c r="E47" s="6" t="s">
        <v>29</v>
      </c>
      <c r="F47" s="6" t="s">
        <v>35</v>
      </c>
      <c r="G47" s="6" t="s">
        <v>60</v>
      </c>
      <c r="H47" s="6">
        <v>13</v>
      </c>
      <c r="I47" s="8">
        <v>222.53</v>
      </c>
      <c r="J47" s="8">
        <v>167.57</v>
      </c>
      <c r="K47" s="6" t="s">
        <v>41</v>
      </c>
      <c r="L47" s="9">
        <f t="shared" si="0"/>
        <v>2892.89</v>
      </c>
      <c r="M47" s="10">
        <f t="shared" si="1"/>
        <v>2178.41</v>
      </c>
      <c r="N47" s="10">
        <f t="shared" si="2"/>
        <v>714.48</v>
      </c>
      <c r="O47" s="11">
        <f t="shared" si="3"/>
        <v>0.24697793555925046</v>
      </c>
      <c r="P47" t="str">
        <f t="shared" si="4"/>
        <v>September</v>
      </c>
      <c r="Q47" t="str">
        <f t="shared" si="5"/>
        <v>Q3</v>
      </c>
      <c r="R47" t="str">
        <f t="shared" si="6"/>
        <v>Low</v>
      </c>
    </row>
    <row r="48" spans="1:18" x14ac:dyDescent="0.3">
      <c r="A48" s="6" t="s">
        <v>122</v>
      </c>
      <c r="B48" s="7">
        <v>45888</v>
      </c>
      <c r="C48" s="6" t="s">
        <v>123</v>
      </c>
      <c r="D48" s="6" t="s">
        <v>21</v>
      </c>
      <c r="E48" s="6" t="s">
        <v>46</v>
      </c>
      <c r="F48" s="6" t="s">
        <v>80</v>
      </c>
      <c r="G48" s="6" t="s">
        <v>31</v>
      </c>
      <c r="H48" s="6">
        <v>7</v>
      </c>
      <c r="I48" s="8">
        <v>1339.22</v>
      </c>
      <c r="J48" s="8">
        <v>953.14</v>
      </c>
      <c r="K48" s="6" t="s">
        <v>41</v>
      </c>
      <c r="L48" s="9">
        <f t="shared" si="0"/>
        <v>9374.5400000000009</v>
      </c>
      <c r="M48" s="10">
        <f t="shared" si="1"/>
        <v>6671.98</v>
      </c>
      <c r="N48" s="10">
        <f t="shared" si="2"/>
        <v>2702.5600000000013</v>
      </c>
      <c r="O48" s="11">
        <f t="shared" si="3"/>
        <v>0.28828721195920026</v>
      </c>
      <c r="P48" t="str">
        <f t="shared" si="4"/>
        <v>August</v>
      </c>
      <c r="Q48" t="str">
        <f t="shared" si="5"/>
        <v>Q3</v>
      </c>
      <c r="R48" t="str">
        <f t="shared" si="6"/>
        <v>Low</v>
      </c>
    </row>
    <row r="49" spans="1:18" x14ac:dyDescent="0.3">
      <c r="A49" s="6" t="s">
        <v>124</v>
      </c>
      <c r="B49" s="7">
        <v>45736</v>
      </c>
      <c r="C49" s="6" t="s">
        <v>125</v>
      </c>
      <c r="D49" s="6" t="s">
        <v>28</v>
      </c>
      <c r="E49" s="6" t="s">
        <v>29</v>
      </c>
      <c r="F49" s="6" t="s">
        <v>50</v>
      </c>
      <c r="G49" s="6" t="s">
        <v>65</v>
      </c>
      <c r="H49" s="6">
        <v>16</v>
      </c>
      <c r="I49" s="8">
        <v>1337.4</v>
      </c>
      <c r="J49" s="8">
        <v>1130.94</v>
      </c>
      <c r="K49" s="6" t="s">
        <v>41</v>
      </c>
      <c r="L49" s="9">
        <f t="shared" si="0"/>
        <v>21398.400000000001</v>
      </c>
      <c r="M49" s="10">
        <f t="shared" si="1"/>
        <v>18095.04</v>
      </c>
      <c r="N49" s="10">
        <f t="shared" si="2"/>
        <v>3303.3600000000006</v>
      </c>
      <c r="O49" s="11">
        <f t="shared" si="3"/>
        <v>0.15437415881561239</v>
      </c>
      <c r="P49" t="str">
        <f t="shared" si="4"/>
        <v>March</v>
      </c>
      <c r="Q49" t="str">
        <f t="shared" si="5"/>
        <v>Q1</v>
      </c>
      <c r="R49" t="str">
        <f t="shared" si="6"/>
        <v>High</v>
      </c>
    </row>
    <row r="50" spans="1:18" x14ac:dyDescent="0.3">
      <c r="A50" s="6" t="s">
        <v>126</v>
      </c>
      <c r="B50" s="7">
        <v>45803</v>
      </c>
      <c r="C50" s="6" t="s">
        <v>116</v>
      </c>
      <c r="D50" s="6" t="s">
        <v>55</v>
      </c>
      <c r="E50" s="6" t="s">
        <v>46</v>
      </c>
      <c r="F50" s="6" t="s">
        <v>85</v>
      </c>
      <c r="G50" s="6" t="s">
        <v>40</v>
      </c>
      <c r="H50" s="6">
        <v>13</v>
      </c>
      <c r="I50" s="8">
        <v>402.4</v>
      </c>
      <c r="J50" s="8">
        <v>289.07</v>
      </c>
      <c r="K50" s="6" t="s">
        <v>25</v>
      </c>
      <c r="L50" s="9">
        <f t="shared" si="0"/>
        <v>5231.2</v>
      </c>
      <c r="M50" s="10">
        <f t="shared" si="1"/>
        <v>3757.91</v>
      </c>
      <c r="N50" s="10">
        <f t="shared" si="2"/>
        <v>1473.29</v>
      </c>
      <c r="O50" s="11">
        <f t="shared" si="3"/>
        <v>0.28163518886679922</v>
      </c>
      <c r="P50" t="str">
        <f t="shared" si="4"/>
        <v>May</v>
      </c>
      <c r="Q50" t="str">
        <f t="shared" si="5"/>
        <v>Q2</v>
      </c>
      <c r="R50" t="str">
        <f t="shared" si="6"/>
        <v>Low</v>
      </c>
    </row>
    <row r="51" spans="1:18" x14ac:dyDescent="0.3">
      <c r="A51" s="6" t="s">
        <v>127</v>
      </c>
      <c r="B51" s="7">
        <v>45944</v>
      </c>
      <c r="C51" s="6" t="s">
        <v>72</v>
      </c>
      <c r="D51" s="6" t="s">
        <v>21</v>
      </c>
      <c r="E51" s="6" t="s">
        <v>22</v>
      </c>
      <c r="F51" s="6" t="s">
        <v>68</v>
      </c>
      <c r="G51" s="6" t="s">
        <v>65</v>
      </c>
      <c r="H51" s="6">
        <v>20</v>
      </c>
      <c r="I51" s="8">
        <v>930.47</v>
      </c>
      <c r="J51" s="8">
        <v>591.45000000000005</v>
      </c>
      <c r="K51" s="6" t="s">
        <v>41</v>
      </c>
      <c r="L51" s="9">
        <f t="shared" si="0"/>
        <v>18609.400000000001</v>
      </c>
      <c r="M51" s="10">
        <f t="shared" si="1"/>
        <v>11829</v>
      </c>
      <c r="N51" s="10">
        <f t="shared" si="2"/>
        <v>6780.4000000000015</v>
      </c>
      <c r="O51" s="11">
        <f t="shared" si="3"/>
        <v>0.36435349876943918</v>
      </c>
      <c r="P51" t="str">
        <f t="shared" si="4"/>
        <v>October</v>
      </c>
      <c r="Q51" t="str">
        <f t="shared" si="5"/>
        <v>Q4</v>
      </c>
      <c r="R51" t="str">
        <f t="shared" si="6"/>
        <v>High</v>
      </c>
    </row>
    <row r="52" spans="1:18" x14ac:dyDescent="0.3">
      <c r="A52" s="6" t="s">
        <v>128</v>
      </c>
      <c r="B52" s="7">
        <v>45868</v>
      </c>
      <c r="C52" s="6" t="s">
        <v>129</v>
      </c>
      <c r="D52" s="6" t="s">
        <v>38</v>
      </c>
      <c r="E52" s="6" t="s">
        <v>46</v>
      </c>
      <c r="F52" s="6" t="s">
        <v>80</v>
      </c>
      <c r="G52" s="6" t="s">
        <v>57</v>
      </c>
      <c r="H52" s="6">
        <v>4</v>
      </c>
      <c r="I52" s="8">
        <v>1104.76</v>
      </c>
      <c r="J52" s="8">
        <v>590.35</v>
      </c>
      <c r="K52" s="6" t="s">
        <v>32</v>
      </c>
      <c r="L52" s="9">
        <f t="shared" si="0"/>
        <v>4419.04</v>
      </c>
      <c r="M52" s="10">
        <f t="shared" si="1"/>
        <v>2361.4</v>
      </c>
      <c r="N52" s="10">
        <f t="shared" si="2"/>
        <v>2057.64</v>
      </c>
      <c r="O52" s="11">
        <f t="shared" si="3"/>
        <v>0.46563054419059341</v>
      </c>
      <c r="P52" t="str">
        <f t="shared" si="4"/>
        <v>July</v>
      </c>
      <c r="Q52" t="str">
        <f t="shared" si="5"/>
        <v>Q3</v>
      </c>
      <c r="R52" t="str">
        <f t="shared" si="6"/>
        <v>Low</v>
      </c>
    </row>
    <row r="53" spans="1:18" x14ac:dyDescent="0.3">
      <c r="A53" s="6" t="s">
        <v>130</v>
      </c>
      <c r="B53" s="7">
        <v>45758</v>
      </c>
      <c r="C53" s="6" t="s">
        <v>131</v>
      </c>
      <c r="D53" s="6" t="s">
        <v>28</v>
      </c>
      <c r="E53" s="6" t="s">
        <v>46</v>
      </c>
      <c r="F53" s="6" t="s">
        <v>80</v>
      </c>
      <c r="G53" s="6" t="s">
        <v>40</v>
      </c>
      <c r="H53" s="6">
        <v>16</v>
      </c>
      <c r="I53" s="8">
        <v>95.82</v>
      </c>
      <c r="J53" s="8">
        <v>48.3</v>
      </c>
      <c r="K53" s="6" t="s">
        <v>32</v>
      </c>
      <c r="L53" s="9">
        <f t="shared" si="0"/>
        <v>1533.12</v>
      </c>
      <c r="M53" s="10">
        <f t="shared" si="1"/>
        <v>772.8</v>
      </c>
      <c r="N53" s="10">
        <f t="shared" si="2"/>
        <v>760.31999999999994</v>
      </c>
      <c r="O53" s="11">
        <f t="shared" si="3"/>
        <v>0.49592986850344395</v>
      </c>
      <c r="P53" t="str">
        <f t="shared" si="4"/>
        <v>April</v>
      </c>
      <c r="Q53" t="str">
        <f t="shared" si="5"/>
        <v>Q2</v>
      </c>
      <c r="R53" t="str">
        <f t="shared" si="6"/>
        <v>Low</v>
      </c>
    </row>
    <row r="54" spans="1:18" x14ac:dyDescent="0.3">
      <c r="A54" s="6" t="s">
        <v>132</v>
      </c>
      <c r="B54" s="7">
        <v>45826</v>
      </c>
      <c r="C54" s="6" t="s">
        <v>52</v>
      </c>
      <c r="D54" s="6" t="s">
        <v>55</v>
      </c>
      <c r="E54" s="6" t="s">
        <v>46</v>
      </c>
      <c r="F54" s="6" t="s">
        <v>73</v>
      </c>
      <c r="G54" s="6" t="s">
        <v>60</v>
      </c>
      <c r="H54" s="6">
        <v>8</v>
      </c>
      <c r="I54" s="8">
        <v>927.87</v>
      </c>
      <c r="J54" s="8">
        <v>742.35</v>
      </c>
      <c r="K54" s="6" t="s">
        <v>32</v>
      </c>
      <c r="L54" s="9">
        <f t="shared" si="0"/>
        <v>7422.96</v>
      </c>
      <c r="M54" s="10">
        <f t="shared" si="1"/>
        <v>5938.8</v>
      </c>
      <c r="N54" s="10">
        <f t="shared" si="2"/>
        <v>1484.1599999999999</v>
      </c>
      <c r="O54" s="11">
        <f t="shared" si="3"/>
        <v>0.19994180219211741</v>
      </c>
      <c r="P54" t="str">
        <f t="shared" si="4"/>
        <v>June</v>
      </c>
      <c r="Q54" t="str">
        <f t="shared" si="5"/>
        <v>Q2</v>
      </c>
      <c r="R54" t="str">
        <f t="shared" si="6"/>
        <v>Low</v>
      </c>
    </row>
    <row r="55" spans="1:18" x14ac:dyDescent="0.3">
      <c r="A55" s="6" t="s">
        <v>133</v>
      </c>
      <c r="B55" s="7">
        <v>45660</v>
      </c>
      <c r="C55" s="6" t="s">
        <v>134</v>
      </c>
      <c r="D55" s="6" t="s">
        <v>28</v>
      </c>
      <c r="E55" s="6" t="s">
        <v>46</v>
      </c>
      <c r="F55" s="6" t="s">
        <v>80</v>
      </c>
      <c r="G55" s="6" t="s">
        <v>65</v>
      </c>
      <c r="H55" s="6">
        <v>16</v>
      </c>
      <c r="I55" s="8">
        <v>765.37</v>
      </c>
      <c r="J55" s="8">
        <v>406.62</v>
      </c>
      <c r="K55" s="6" t="s">
        <v>41</v>
      </c>
      <c r="L55" s="9">
        <f t="shared" si="0"/>
        <v>12245.92</v>
      </c>
      <c r="M55" s="10">
        <f t="shared" si="1"/>
        <v>6505.92</v>
      </c>
      <c r="N55" s="10">
        <f t="shared" si="2"/>
        <v>5740</v>
      </c>
      <c r="O55" s="11">
        <f t="shared" si="3"/>
        <v>0.46872754354103247</v>
      </c>
      <c r="P55" t="str">
        <f t="shared" si="4"/>
        <v>January</v>
      </c>
      <c r="Q55" t="str">
        <f t="shared" si="5"/>
        <v>Q1</v>
      </c>
      <c r="R55" t="str">
        <f t="shared" si="6"/>
        <v>High</v>
      </c>
    </row>
    <row r="56" spans="1:18" x14ac:dyDescent="0.3">
      <c r="A56" s="6" t="s">
        <v>135</v>
      </c>
      <c r="B56" s="7">
        <v>45710</v>
      </c>
      <c r="C56" s="6" t="s">
        <v>136</v>
      </c>
      <c r="D56" s="6" t="s">
        <v>28</v>
      </c>
      <c r="E56" s="6" t="s">
        <v>22</v>
      </c>
      <c r="F56" s="6" t="s">
        <v>23</v>
      </c>
      <c r="G56" s="6" t="s">
        <v>31</v>
      </c>
      <c r="H56" s="6">
        <v>20</v>
      </c>
      <c r="I56" s="8">
        <v>115.97</v>
      </c>
      <c r="J56" s="8">
        <v>100.64</v>
      </c>
      <c r="K56" s="6" t="s">
        <v>32</v>
      </c>
      <c r="L56" s="9">
        <f t="shared" si="0"/>
        <v>2319.4</v>
      </c>
      <c r="M56" s="10">
        <f t="shared" si="1"/>
        <v>2012.8</v>
      </c>
      <c r="N56" s="10">
        <f t="shared" si="2"/>
        <v>306.60000000000014</v>
      </c>
      <c r="O56" s="11">
        <f t="shared" si="3"/>
        <v>0.13218935931706483</v>
      </c>
      <c r="P56" t="str">
        <f t="shared" si="4"/>
        <v>February</v>
      </c>
      <c r="Q56" t="str">
        <f t="shared" si="5"/>
        <v>Q1</v>
      </c>
      <c r="R56" t="str">
        <f t="shared" si="6"/>
        <v>Low</v>
      </c>
    </row>
    <row r="57" spans="1:18" x14ac:dyDescent="0.3">
      <c r="A57" s="6" t="s">
        <v>137</v>
      </c>
      <c r="B57" s="7">
        <v>45686</v>
      </c>
      <c r="C57" s="6" t="s">
        <v>138</v>
      </c>
      <c r="D57" s="6" t="s">
        <v>21</v>
      </c>
      <c r="E57" s="6" t="s">
        <v>29</v>
      </c>
      <c r="F57" s="6" t="s">
        <v>30</v>
      </c>
      <c r="G57" s="6" t="s">
        <v>31</v>
      </c>
      <c r="H57" s="6">
        <v>12</v>
      </c>
      <c r="I57" s="8">
        <v>653.42999999999995</v>
      </c>
      <c r="J57" s="8">
        <v>492.8</v>
      </c>
      <c r="K57" s="6" t="s">
        <v>25</v>
      </c>
      <c r="L57" s="9">
        <f t="shared" si="0"/>
        <v>7841.16</v>
      </c>
      <c r="M57" s="10">
        <f t="shared" si="1"/>
        <v>5913.6</v>
      </c>
      <c r="N57" s="10">
        <f t="shared" si="2"/>
        <v>1927.5599999999995</v>
      </c>
      <c r="O57" s="11">
        <f t="shared" si="3"/>
        <v>0.24582587270250825</v>
      </c>
      <c r="P57" t="str">
        <f t="shared" si="4"/>
        <v>January</v>
      </c>
      <c r="Q57" t="str">
        <f t="shared" si="5"/>
        <v>Q1</v>
      </c>
      <c r="R57" t="str">
        <f t="shared" si="6"/>
        <v>Low</v>
      </c>
    </row>
    <row r="58" spans="1:18" x14ac:dyDescent="0.3">
      <c r="A58" s="6" t="s">
        <v>139</v>
      </c>
      <c r="B58" s="7">
        <v>45986</v>
      </c>
      <c r="C58" s="6" t="s">
        <v>120</v>
      </c>
      <c r="D58" s="6" t="s">
        <v>28</v>
      </c>
      <c r="E58" s="6" t="s">
        <v>29</v>
      </c>
      <c r="F58" s="6" t="s">
        <v>50</v>
      </c>
      <c r="G58" s="6" t="s">
        <v>31</v>
      </c>
      <c r="H58" s="6">
        <v>1</v>
      </c>
      <c r="I58" s="8">
        <v>1108.69</v>
      </c>
      <c r="J58" s="8">
        <v>993.96</v>
      </c>
      <c r="K58" s="6" t="s">
        <v>32</v>
      </c>
      <c r="L58" s="9">
        <f t="shared" si="0"/>
        <v>1108.69</v>
      </c>
      <c r="M58" s="10">
        <f t="shared" si="1"/>
        <v>993.96</v>
      </c>
      <c r="N58" s="10">
        <f t="shared" si="2"/>
        <v>114.73000000000002</v>
      </c>
      <c r="O58" s="11">
        <f t="shared" si="3"/>
        <v>0.10348248834209745</v>
      </c>
      <c r="P58" t="str">
        <f t="shared" si="4"/>
        <v>November</v>
      </c>
      <c r="Q58" t="str">
        <f t="shared" si="5"/>
        <v>Q4</v>
      </c>
      <c r="R58" t="str">
        <f t="shared" si="6"/>
        <v>Low</v>
      </c>
    </row>
    <row r="59" spans="1:18" x14ac:dyDescent="0.3">
      <c r="A59" s="6" t="s">
        <v>140</v>
      </c>
      <c r="B59" s="7">
        <v>45746</v>
      </c>
      <c r="C59" s="6" t="s">
        <v>141</v>
      </c>
      <c r="D59" s="6" t="s">
        <v>55</v>
      </c>
      <c r="E59" s="6" t="s">
        <v>46</v>
      </c>
      <c r="F59" s="6" t="s">
        <v>73</v>
      </c>
      <c r="G59" s="6" t="s">
        <v>24</v>
      </c>
      <c r="H59" s="6">
        <v>12</v>
      </c>
      <c r="I59" s="8">
        <v>1343.39</v>
      </c>
      <c r="J59" s="8">
        <v>819.97</v>
      </c>
      <c r="K59" s="6" t="s">
        <v>41</v>
      </c>
      <c r="L59" s="9">
        <f t="shared" si="0"/>
        <v>16120.68</v>
      </c>
      <c r="M59" s="10">
        <f t="shared" si="1"/>
        <v>9839.64</v>
      </c>
      <c r="N59" s="10">
        <f t="shared" si="2"/>
        <v>6281.0400000000009</v>
      </c>
      <c r="O59" s="11">
        <f t="shared" si="3"/>
        <v>0.38962624405422108</v>
      </c>
      <c r="P59" t="str">
        <f t="shared" si="4"/>
        <v>March</v>
      </c>
      <c r="Q59" t="str">
        <f t="shared" si="5"/>
        <v>Q1</v>
      </c>
      <c r="R59" t="str">
        <f t="shared" si="6"/>
        <v>High</v>
      </c>
    </row>
    <row r="60" spans="1:18" x14ac:dyDescent="0.3">
      <c r="A60" s="6" t="s">
        <v>142</v>
      </c>
      <c r="B60" s="7">
        <v>45821</v>
      </c>
      <c r="C60" s="6" t="s">
        <v>143</v>
      </c>
      <c r="D60" s="6" t="s">
        <v>28</v>
      </c>
      <c r="E60" s="6" t="s">
        <v>29</v>
      </c>
      <c r="F60" s="6" t="s">
        <v>30</v>
      </c>
      <c r="G60" s="6" t="s">
        <v>31</v>
      </c>
      <c r="H60" s="6">
        <v>12</v>
      </c>
      <c r="I60" s="8">
        <v>1299.02</v>
      </c>
      <c r="J60" s="8">
        <v>766.98</v>
      </c>
      <c r="K60" s="6" t="s">
        <v>32</v>
      </c>
      <c r="L60" s="9">
        <f t="shared" si="0"/>
        <v>15588.24</v>
      </c>
      <c r="M60" s="10">
        <f t="shared" si="1"/>
        <v>9203.76</v>
      </c>
      <c r="N60" s="10">
        <f t="shared" si="2"/>
        <v>6384.48</v>
      </c>
      <c r="O60" s="11">
        <f t="shared" si="3"/>
        <v>0.40957029145047802</v>
      </c>
      <c r="P60" t="str">
        <f t="shared" si="4"/>
        <v>June</v>
      </c>
      <c r="Q60" t="str">
        <f t="shared" si="5"/>
        <v>Q2</v>
      </c>
      <c r="R60" t="str">
        <f t="shared" si="6"/>
        <v>High</v>
      </c>
    </row>
    <row r="61" spans="1:18" x14ac:dyDescent="0.3">
      <c r="A61" s="6" t="s">
        <v>144</v>
      </c>
      <c r="B61" s="7">
        <v>45916</v>
      </c>
      <c r="C61" s="6" t="s">
        <v>145</v>
      </c>
      <c r="D61" s="6" t="s">
        <v>28</v>
      </c>
      <c r="E61" s="6" t="s">
        <v>46</v>
      </c>
      <c r="F61" s="6" t="s">
        <v>73</v>
      </c>
      <c r="G61" s="6" t="s">
        <v>57</v>
      </c>
      <c r="H61" s="6">
        <v>13</v>
      </c>
      <c r="I61" s="8">
        <v>1301.42</v>
      </c>
      <c r="J61" s="8">
        <v>883.84</v>
      </c>
      <c r="K61" s="6" t="s">
        <v>32</v>
      </c>
      <c r="L61" s="9">
        <f t="shared" si="0"/>
        <v>16918.46</v>
      </c>
      <c r="M61" s="10">
        <f t="shared" si="1"/>
        <v>11489.92</v>
      </c>
      <c r="N61" s="10">
        <f t="shared" si="2"/>
        <v>5428.5399999999991</v>
      </c>
      <c r="O61" s="11">
        <f t="shared" si="3"/>
        <v>0.32086490141537699</v>
      </c>
      <c r="P61" t="str">
        <f t="shared" si="4"/>
        <v>September</v>
      </c>
      <c r="Q61" t="str">
        <f t="shared" si="5"/>
        <v>Q3</v>
      </c>
      <c r="R61" t="str">
        <f t="shared" si="6"/>
        <v>High</v>
      </c>
    </row>
    <row r="62" spans="1:18" x14ac:dyDescent="0.3">
      <c r="A62" s="6" t="s">
        <v>146</v>
      </c>
      <c r="B62" s="7">
        <v>45882</v>
      </c>
      <c r="C62" s="6" t="s">
        <v>147</v>
      </c>
      <c r="D62" s="6" t="s">
        <v>38</v>
      </c>
      <c r="E62" s="6" t="s">
        <v>29</v>
      </c>
      <c r="F62" s="6" t="s">
        <v>35</v>
      </c>
      <c r="G62" s="6" t="s">
        <v>60</v>
      </c>
      <c r="H62" s="6">
        <v>13</v>
      </c>
      <c r="I62" s="8">
        <v>1037.93</v>
      </c>
      <c r="J62" s="8">
        <v>588.41999999999996</v>
      </c>
      <c r="K62" s="6" t="s">
        <v>32</v>
      </c>
      <c r="L62" s="9">
        <f t="shared" si="0"/>
        <v>13493.09</v>
      </c>
      <c r="M62" s="10">
        <f t="shared" si="1"/>
        <v>7649.4599999999991</v>
      </c>
      <c r="N62" s="10">
        <f t="shared" si="2"/>
        <v>5843.630000000001</v>
      </c>
      <c r="O62" s="11">
        <f t="shared" si="3"/>
        <v>0.43308315589683322</v>
      </c>
      <c r="P62" t="str">
        <f t="shared" si="4"/>
        <v>August</v>
      </c>
      <c r="Q62" t="str">
        <f t="shared" si="5"/>
        <v>Q3</v>
      </c>
      <c r="R62" t="str">
        <f t="shared" si="6"/>
        <v>High</v>
      </c>
    </row>
    <row r="63" spans="1:18" x14ac:dyDescent="0.3">
      <c r="A63" s="6" t="s">
        <v>148</v>
      </c>
      <c r="B63" s="7">
        <v>45760</v>
      </c>
      <c r="C63" s="6" t="s">
        <v>143</v>
      </c>
      <c r="D63" s="6" t="s">
        <v>38</v>
      </c>
      <c r="E63" s="6" t="s">
        <v>46</v>
      </c>
      <c r="F63" s="6" t="s">
        <v>80</v>
      </c>
      <c r="G63" s="6" t="s">
        <v>40</v>
      </c>
      <c r="H63" s="6">
        <v>1</v>
      </c>
      <c r="I63" s="8">
        <v>531.70000000000005</v>
      </c>
      <c r="J63" s="8">
        <v>270.64999999999998</v>
      </c>
      <c r="K63" s="6" t="s">
        <v>25</v>
      </c>
      <c r="L63" s="9">
        <f t="shared" si="0"/>
        <v>531.70000000000005</v>
      </c>
      <c r="M63" s="10">
        <f t="shared" si="1"/>
        <v>270.64999999999998</v>
      </c>
      <c r="N63" s="10">
        <f t="shared" si="2"/>
        <v>261.05000000000007</v>
      </c>
      <c r="O63" s="11">
        <f t="shared" si="3"/>
        <v>0.49097235283054363</v>
      </c>
      <c r="P63" t="str">
        <f t="shared" si="4"/>
        <v>April</v>
      </c>
      <c r="Q63" t="str">
        <f t="shared" si="5"/>
        <v>Q2</v>
      </c>
      <c r="R63" t="str">
        <f t="shared" si="6"/>
        <v>Low</v>
      </c>
    </row>
    <row r="64" spans="1:18" x14ac:dyDescent="0.3">
      <c r="A64" s="6" t="s">
        <v>149</v>
      </c>
      <c r="B64" s="7">
        <v>45987</v>
      </c>
      <c r="C64" s="6" t="s">
        <v>150</v>
      </c>
      <c r="D64" s="6" t="s">
        <v>38</v>
      </c>
      <c r="E64" s="6" t="s">
        <v>22</v>
      </c>
      <c r="F64" s="6" t="s">
        <v>23</v>
      </c>
      <c r="G64" s="6" t="s">
        <v>57</v>
      </c>
      <c r="H64" s="6">
        <v>19</v>
      </c>
      <c r="I64" s="8">
        <v>1001.47</v>
      </c>
      <c r="J64" s="8">
        <v>628.09</v>
      </c>
      <c r="K64" s="6" t="s">
        <v>32</v>
      </c>
      <c r="L64" s="9">
        <f t="shared" si="0"/>
        <v>19027.93</v>
      </c>
      <c r="M64" s="10">
        <f t="shared" si="1"/>
        <v>11933.710000000001</v>
      </c>
      <c r="N64" s="10">
        <f t="shared" si="2"/>
        <v>7094.2199999999993</v>
      </c>
      <c r="O64" s="11">
        <f t="shared" si="3"/>
        <v>0.37283193705253276</v>
      </c>
      <c r="P64" t="str">
        <f t="shared" si="4"/>
        <v>November</v>
      </c>
      <c r="Q64" t="str">
        <f t="shared" si="5"/>
        <v>Q4</v>
      </c>
      <c r="R64" t="str">
        <f t="shared" si="6"/>
        <v>High</v>
      </c>
    </row>
    <row r="65" spans="1:18" x14ac:dyDescent="0.3">
      <c r="A65" s="6" t="s">
        <v>151</v>
      </c>
      <c r="B65" s="7">
        <v>45898</v>
      </c>
      <c r="C65" s="6" t="s">
        <v>152</v>
      </c>
      <c r="D65" s="6" t="s">
        <v>55</v>
      </c>
      <c r="E65" s="6" t="s">
        <v>46</v>
      </c>
      <c r="F65" s="6" t="s">
        <v>85</v>
      </c>
      <c r="G65" s="6" t="s">
        <v>31</v>
      </c>
      <c r="H65" s="6">
        <v>2</v>
      </c>
      <c r="I65" s="8">
        <v>981.26</v>
      </c>
      <c r="J65" s="8">
        <v>818.93</v>
      </c>
      <c r="K65" s="6" t="s">
        <v>41</v>
      </c>
      <c r="L65" s="9">
        <f t="shared" si="0"/>
        <v>1962.52</v>
      </c>
      <c r="M65" s="10">
        <f t="shared" si="1"/>
        <v>1637.86</v>
      </c>
      <c r="N65" s="10">
        <f t="shared" si="2"/>
        <v>324.66000000000008</v>
      </c>
      <c r="O65" s="11">
        <f t="shared" si="3"/>
        <v>0.16543016122128695</v>
      </c>
      <c r="P65" t="str">
        <f t="shared" si="4"/>
        <v>August</v>
      </c>
      <c r="Q65" t="str">
        <f t="shared" si="5"/>
        <v>Q3</v>
      </c>
      <c r="R65" t="str">
        <f t="shared" si="6"/>
        <v>Low</v>
      </c>
    </row>
    <row r="66" spans="1:18" x14ac:dyDescent="0.3">
      <c r="A66" s="6" t="s">
        <v>153</v>
      </c>
      <c r="B66" s="7">
        <v>45965</v>
      </c>
      <c r="C66" s="6" t="s">
        <v>154</v>
      </c>
      <c r="D66" s="6" t="s">
        <v>55</v>
      </c>
      <c r="E66" s="6" t="s">
        <v>29</v>
      </c>
      <c r="F66" s="6" t="s">
        <v>35</v>
      </c>
      <c r="G66" s="6" t="s">
        <v>65</v>
      </c>
      <c r="H66" s="6">
        <v>20</v>
      </c>
      <c r="I66" s="8">
        <v>1356.4</v>
      </c>
      <c r="J66" s="8">
        <v>1104.43</v>
      </c>
      <c r="K66" s="6" t="s">
        <v>32</v>
      </c>
      <c r="L66" s="9">
        <f t="shared" si="0"/>
        <v>27128</v>
      </c>
      <c r="M66" s="10">
        <f t="shared" si="1"/>
        <v>22088.600000000002</v>
      </c>
      <c r="N66" s="10">
        <f t="shared" si="2"/>
        <v>5039.3999999999978</v>
      </c>
      <c r="O66" s="11">
        <f t="shared" si="3"/>
        <v>0.1857637864936596</v>
      </c>
      <c r="P66" t="str">
        <f t="shared" si="4"/>
        <v>November</v>
      </c>
      <c r="Q66" t="str">
        <f t="shared" si="5"/>
        <v>Q4</v>
      </c>
      <c r="R66" t="str">
        <f t="shared" si="6"/>
        <v>High</v>
      </c>
    </row>
    <row r="67" spans="1:18" x14ac:dyDescent="0.3">
      <c r="A67" s="6" t="s">
        <v>155</v>
      </c>
      <c r="B67" s="7">
        <v>45775</v>
      </c>
      <c r="C67" s="6" t="s">
        <v>67</v>
      </c>
      <c r="D67" s="6" t="s">
        <v>28</v>
      </c>
      <c r="E67" s="6" t="s">
        <v>22</v>
      </c>
      <c r="F67" s="6" t="s">
        <v>56</v>
      </c>
      <c r="G67" s="6" t="s">
        <v>31</v>
      </c>
      <c r="H67" s="6">
        <v>6</v>
      </c>
      <c r="I67" s="8">
        <v>914.12</v>
      </c>
      <c r="J67" s="8">
        <v>510.01</v>
      </c>
      <c r="K67" s="6" t="s">
        <v>25</v>
      </c>
      <c r="L67" s="9">
        <f t="shared" si="0"/>
        <v>5484.72</v>
      </c>
      <c r="M67" s="10">
        <f t="shared" si="1"/>
        <v>3060.06</v>
      </c>
      <c r="N67" s="10">
        <f t="shared" si="2"/>
        <v>2424.6600000000003</v>
      </c>
      <c r="O67" s="11">
        <f t="shared" si="3"/>
        <v>0.44207543867325955</v>
      </c>
      <c r="P67" t="str">
        <f t="shared" si="4"/>
        <v>April</v>
      </c>
      <c r="Q67" t="str">
        <f t="shared" si="5"/>
        <v>Q2</v>
      </c>
      <c r="R67" t="str">
        <f t="shared" si="6"/>
        <v>Low</v>
      </c>
    </row>
    <row r="68" spans="1:18" x14ac:dyDescent="0.3">
      <c r="A68" s="6" t="s">
        <v>156</v>
      </c>
      <c r="B68" s="7">
        <v>45884</v>
      </c>
      <c r="C68" s="6" t="s">
        <v>157</v>
      </c>
      <c r="D68" s="6" t="s">
        <v>38</v>
      </c>
      <c r="E68" s="6" t="s">
        <v>22</v>
      </c>
      <c r="F68" s="6" t="s">
        <v>68</v>
      </c>
      <c r="G68" s="6" t="s">
        <v>60</v>
      </c>
      <c r="H68" s="6">
        <v>4</v>
      </c>
      <c r="I68" s="8">
        <v>536.16999999999996</v>
      </c>
      <c r="J68" s="8">
        <v>395.82</v>
      </c>
      <c r="K68" s="6" t="s">
        <v>25</v>
      </c>
      <c r="L68" s="9">
        <f t="shared" si="0"/>
        <v>2144.6799999999998</v>
      </c>
      <c r="M68" s="10">
        <f t="shared" si="1"/>
        <v>1583.28</v>
      </c>
      <c r="N68" s="10">
        <f t="shared" si="2"/>
        <v>561.39999999999986</v>
      </c>
      <c r="O68" s="11">
        <f t="shared" si="3"/>
        <v>0.26176399276348916</v>
      </c>
      <c r="P68" t="str">
        <f t="shared" si="4"/>
        <v>August</v>
      </c>
      <c r="Q68" t="str">
        <f t="shared" si="5"/>
        <v>Q3</v>
      </c>
      <c r="R68" t="str">
        <f t="shared" si="6"/>
        <v>Low</v>
      </c>
    </row>
    <row r="69" spans="1:18" x14ac:dyDescent="0.3">
      <c r="A69" s="6" t="s">
        <v>158</v>
      </c>
      <c r="B69" s="7">
        <v>45795</v>
      </c>
      <c r="C69" s="6" t="s">
        <v>72</v>
      </c>
      <c r="D69" s="6" t="s">
        <v>21</v>
      </c>
      <c r="E69" s="6" t="s">
        <v>46</v>
      </c>
      <c r="F69" s="6" t="s">
        <v>73</v>
      </c>
      <c r="G69" s="6" t="s">
        <v>57</v>
      </c>
      <c r="H69" s="6">
        <v>1</v>
      </c>
      <c r="I69" s="8">
        <v>1057.23</v>
      </c>
      <c r="J69" s="8">
        <v>913.69</v>
      </c>
      <c r="K69" s="6" t="s">
        <v>32</v>
      </c>
      <c r="L69" s="9">
        <f t="shared" si="0"/>
        <v>1057.23</v>
      </c>
      <c r="M69" s="10">
        <f t="shared" si="1"/>
        <v>913.69</v>
      </c>
      <c r="N69" s="10">
        <f t="shared" si="2"/>
        <v>143.53999999999996</v>
      </c>
      <c r="O69" s="11">
        <f t="shared" si="3"/>
        <v>0.13576988923885999</v>
      </c>
      <c r="P69" t="str">
        <f t="shared" si="4"/>
        <v>May</v>
      </c>
      <c r="Q69" t="str">
        <f t="shared" si="5"/>
        <v>Q2</v>
      </c>
      <c r="R69" t="str">
        <f t="shared" si="6"/>
        <v>Low</v>
      </c>
    </row>
    <row r="70" spans="1:18" x14ac:dyDescent="0.3">
      <c r="A70" s="6" t="s">
        <v>159</v>
      </c>
      <c r="B70" s="7">
        <v>46014</v>
      </c>
      <c r="C70" s="6" t="s">
        <v>160</v>
      </c>
      <c r="D70" s="6" t="s">
        <v>38</v>
      </c>
      <c r="E70" s="6" t="s">
        <v>46</v>
      </c>
      <c r="F70" s="6" t="s">
        <v>85</v>
      </c>
      <c r="G70" s="6" t="s">
        <v>31</v>
      </c>
      <c r="H70" s="6">
        <v>20</v>
      </c>
      <c r="I70" s="8">
        <v>1248.1600000000001</v>
      </c>
      <c r="J70" s="8">
        <v>675.23</v>
      </c>
      <c r="K70" s="6" t="s">
        <v>32</v>
      </c>
      <c r="L70" s="9">
        <f t="shared" si="0"/>
        <v>24963.200000000001</v>
      </c>
      <c r="M70" s="10">
        <f t="shared" si="1"/>
        <v>13504.6</v>
      </c>
      <c r="N70" s="10">
        <f t="shared" si="2"/>
        <v>11458.6</v>
      </c>
      <c r="O70" s="11">
        <f t="shared" si="3"/>
        <v>0.45901967696449175</v>
      </c>
      <c r="P70" t="str">
        <f t="shared" si="4"/>
        <v>December</v>
      </c>
      <c r="Q70" t="str">
        <f t="shared" si="5"/>
        <v>Q4</v>
      </c>
      <c r="R70" t="str">
        <f t="shared" si="6"/>
        <v>High</v>
      </c>
    </row>
    <row r="71" spans="1:18" x14ac:dyDescent="0.3">
      <c r="A71" s="6" t="s">
        <v>161</v>
      </c>
      <c r="B71" s="7">
        <v>45722</v>
      </c>
      <c r="C71" s="6" t="s">
        <v>162</v>
      </c>
      <c r="D71" s="6" t="s">
        <v>21</v>
      </c>
      <c r="E71" s="6" t="s">
        <v>29</v>
      </c>
      <c r="F71" s="6" t="s">
        <v>30</v>
      </c>
      <c r="G71" s="6" t="s">
        <v>40</v>
      </c>
      <c r="H71" s="6">
        <v>13</v>
      </c>
      <c r="I71" s="8">
        <v>633.6</v>
      </c>
      <c r="J71" s="8">
        <v>362.4</v>
      </c>
      <c r="K71" s="6" t="s">
        <v>41</v>
      </c>
      <c r="L71" s="9">
        <f t="shared" ref="L71:L134" si="7">H71*I71</f>
        <v>8236.8000000000011</v>
      </c>
      <c r="M71" s="10">
        <f t="shared" ref="M71:M134" si="8">H71*J71</f>
        <v>4711.2</v>
      </c>
      <c r="N71" s="10">
        <f t="shared" ref="N71:N134" si="9">L71-M71</f>
        <v>3525.6000000000013</v>
      </c>
      <c r="O71" s="11">
        <f t="shared" ref="O71:O134" si="10">N71/L71</f>
        <v>0.42803030303030315</v>
      </c>
      <c r="P71" t="str">
        <f t="shared" ref="P71:P134" si="11">TEXT(B71,"mmmm")</f>
        <v>March</v>
      </c>
      <c r="Q71" t="str">
        <f t="shared" ref="Q71:Q134" si="12">"Q"&amp;ROUNDUP(MONTH(B71)/3,0)</f>
        <v>Q1</v>
      </c>
      <c r="R71" t="str">
        <f t="shared" ref="R71:R134" si="13">IF(L71&gt;=10000,"High","Low")</f>
        <v>Low</v>
      </c>
    </row>
    <row r="72" spans="1:18" x14ac:dyDescent="0.3">
      <c r="A72" s="6" t="s">
        <v>163</v>
      </c>
      <c r="B72" s="7">
        <v>46012</v>
      </c>
      <c r="C72" s="6" t="s">
        <v>164</v>
      </c>
      <c r="D72" s="6" t="s">
        <v>28</v>
      </c>
      <c r="E72" s="6" t="s">
        <v>29</v>
      </c>
      <c r="F72" s="6" t="s">
        <v>30</v>
      </c>
      <c r="G72" s="6" t="s">
        <v>24</v>
      </c>
      <c r="H72" s="6">
        <v>18</v>
      </c>
      <c r="I72" s="8">
        <v>1456.76</v>
      </c>
      <c r="J72" s="8">
        <v>1235.5</v>
      </c>
      <c r="K72" s="6" t="s">
        <v>25</v>
      </c>
      <c r="L72" s="9">
        <f t="shared" si="7"/>
        <v>26221.68</v>
      </c>
      <c r="M72" s="10">
        <f t="shared" si="8"/>
        <v>22239</v>
      </c>
      <c r="N72" s="10">
        <f t="shared" si="9"/>
        <v>3982.6800000000003</v>
      </c>
      <c r="O72" s="11">
        <f t="shared" si="10"/>
        <v>0.15188500507976607</v>
      </c>
      <c r="P72" t="str">
        <f t="shared" si="11"/>
        <v>December</v>
      </c>
      <c r="Q72" t="str">
        <f t="shared" si="12"/>
        <v>Q4</v>
      </c>
      <c r="R72" t="str">
        <f t="shared" si="13"/>
        <v>High</v>
      </c>
    </row>
    <row r="73" spans="1:18" x14ac:dyDescent="0.3">
      <c r="A73" s="6" t="s">
        <v>165</v>
      </c>
      <c r="B73" s="7">
        <v>45680</v>
      </c>
      <c r="C73" s="6" t="s">
        <v>166</v>
      </c>
      <c r="D73" s="6" t="s">
        <v>21</v>
      </c>
      <c r="E73" s="6" t="s">
        <v>22</v>
      </c>
      <c r="F73" s="6" t="s">
        <v>82</v>
      </c>
      <c r="G73" s="6" t="s">
        <v>24</v>
      </c>
      <c r="H73" s="6">
        <v>9</v>
      </c>
      <c r="I73" s="8">
        <v>374.17</v>
      </c>
      <c r="J73" s="8">
        <v>216.29</v>
      </c>
      <c r="K73" s="6" t="s">
        <v>25</v>
      </c>
      <c r="L73" s="9">
        <f t="shared" si="7"/>
        <v>3367.53</v>
      </c>
      <c r="M73" s="10">
        <f t="shared" si="8"/>
        <v>1946.61</v>
      </c>
      <c r="N73" s="10">
        <f t="shared" si="9"/>
        <v>1420.9200000000003</v>
      </c>
      <c r="O73" s="11">
        <f t="shared" si="10"/>
        <v>0.4219472432316862</v>
      </c>
      <c r="P73" t="str">
        <f t="shared" si="11"/>
        <v>January</v>
      </c>
      <c r="Q73" t="str">
        <f t="shared" si="12"/>
        <v>Q1</v>
      </c>
      <c r="R73" t="str">
        <f t="shared" si="13"/>
        <v>Low</v>
      </c>
    </row>
    <row r="74" spans="1:18" x14ac:dyDescent="0.3">
      <c r="A74" s="6" t="s">
        <v>167</v>
      </c>
      <c r="B74" s="7">
        <v>45719</v>
      </c>
      <c r="C74" s="6" t="s">
        <v>168</v>
      </c>
      <c r="D74" s="6" t="s">
        <v>55</v>
      </c>
      <c r="E74" s="6" t="s">
        <v>29</v>
      </c>
      <c r="F74" s="6" t="s">
        <v>30</v>
      </c>
      <c r="G74" s="6" t="s">
        <v>24</v>
      </c>
      <c r="H74" s="6">
        <v>18</v>
      </c>
      <c r="I74" s="8">
        <v>176.09</v>
      </c>
      <c r="J74" s="8">
        <v>131.06</v>
      </c>
      <c r="K74" s="6" t="s">
        <v>25</v>
      </c>
      <c r="L74" s="9">
        <f t="shared" si="7"/>
        <v>3169.62</v>
      </c>
      <c r="M74" s="10">
        <f t="shared" si="8"/>
        <v>2359.08</v>
      </c>
      <c r="N74" s="10">
        <f t="shared" si="9"/>
        <v>810.54</v>
      </c>
      <c r="O74" s="11">
        <f t="shared" si="10"/>
        <v>0.25572150604804361</v>
      </c>
      <c r="P74" t="str">
        <f t="shared" si="11"/>
        <v>March</v>
      </c>
      <c r="Q74" t="str">
        <f t="shared" si="12"/>
        <v>Q1</v>
      </c>
      <c r="R74" t="str">
        <f t="shared" si="13"/>
        <v>Low</v>
      </c>
    </row>
    <row r="75" spans="1:18" x14ac:dyDescent="0.3">
      <c r="A75" s="6" t="s">
        <v>169</v>
      </c>
      <c r="B75" s="7">
        <v>45883</v>
      </c>
      <c r="C75" s="6" t="s">
        <v>170</v>
      </c>
      <c r="D75" s="6" t="s">
        <v>21</v>
      </c>
      <c r="E75" s="6" t="s">
        <v>22</v>
      </c>
      <c r="F75" s="6" t="s">
        <v>56</v>
      </c>
      <c r="G75" s="6" t="s">
        <v>40</v>
      </c>
      <c r="H75" s="6">
        <v>6</v>
      </c>
      <c r="I75" s="8">
        <v>462.63</v>
      </c>
      <c r="J75" s="8">
        <v>298.81</v>
      </c>
      <c r="K75" s="6" t="s">
        <v>41</v>
      </c>
      <c r="L75" s="9">
        <f t="shared" si="7"/>
        <v>2775.7799999999997</v>
      </c>
      <c r="M75" s="10">
        <f t="shared" si="8"/>
        <v>1792.8600000000001</v>
      </c>
      <c r="N75" s="10">
        <f t="shared" si="9"/>
        <v>982.91999999999962</v>
      </c>
      <c r="O75" s="11">
        <f t="shared" si="10"/>
        <v>0.35410587294382107</v>
      </c>
      <c r="P75" t="str">
        <f t="shared" si="11"/>
        <v>August</v>
      </c>
      <c r="Q75" t="str">
        <f t="shared" si="12"/>
        <v>Q3</v>
      </c>
      <c r="R75" t="str">
        <f t="shared" si="13"/>
        <v>Low</v>
      </c>
    </row>
    <row r="76" spans="1:18" x14ac:dyDescent="0.3">
      <c r="A76" s="6" t="s">
        <v>171</v>
      </c>
      <c r="B76" s="7">
        <v>45706</v>
      </c>
      <c r="C76" s="6" t="s">
        <v>172</v>
      </c>
      <c r="D76" s="6" t="s">
        <v>21</v>
      </c>
      <c r="E76" s="6" t="s">
        <v>46</v>
      </c>
      <c r="F76" s="6" t="s">
        <v>85</v>
      </c>
      <c r="G76" s="6" t="s">
        <v>24</v>
      </c>
      <c r="H76" s="6">
        <v>19</v>
      </c>
      <c r="I76" s="8">
        <v>234.91</v>
      </c>
      <c r="J76" s="8">
        <v>147.69999999999999</v>
      </c>
      <c r="K76" s="6" t="s">
        <v>25</v>
      </c>
      <c r="L76" s="9">
        <f t="shared" si="7"/>
        <v>4463.29</v>
      </c>
      <c r="M76" s="10">
        <f t="shared" si="8"/>
        <v>2806.2999999999997</v>
      </c>
      <c r="N76" s="10">
        <f t="shared" si="9"/>
        <v>1656.9900000000002</v>
      </c>
      <c r="O76" s="11">
        <f t="shared" si="10"/>
        <v>0.37124856327955391</v>
      </c>
      <c r="P76" t="str">
        <f t="shared" si="11"/>
        <v>February</v>
      </c>
      <c r="Q76" t="str">
        <f t="shared" si="12"/>
        <v>Q1</v>
      </c>
      <c r="R76" t="str">
        <f t="shared" si="13"/>
        <v>Low</v>
      </c>
    </row>
    <row r="77" spans="1:18" x14ac:dyDescent="0.3">
      <c r="A77" s="6" t="s">
        <v>173</v>
      </c>
      <c r="B77" s="7">
        <v>45713</v>
      </c>
      <c r="C77" s="6" t="s">
        <v>174</v>
      </c>
      <c r="D77" s="6" t="s">
        <v>21</v>
      </c>
      <c r="E77" s="6" t="s">
        <v>46</v>
      </c>
      <c r="F77" s="6" t="s">
        <v>80</v>
      </c>
      <c r="G77" s="6" t="s">
        <v>31</v>
      </c>
      <c r="H77" s="6">
        <v>3</v>
      </c>
      <c r="I77" s="8">
        <v>1033.6400000000001</v>
      </c>
      <c r="J77" s="8">
        <v>888.92</v>
      </c>
      <c r="K77" s="6" t="s">
        <v>41</v>
      </c>
      <c r="L77" s="9">
        <f t="shared" si="7"/>
        <v>3100.92</v>
      </c>
      <c r="M77" s="10">
        <f t="shared" si="8"/>
        <v>2666.7599999999998</v>
      </c>
      <c r="N77" s="10">
        <f t="shared" si="9"/>
        <v>434.16000000000031</v>
      </c>
      <c r="O77" s="11">
        <f t="shared" si="10"/>
        <v>0.14001006153012663</v>
      </c>
      <c r="P77" t="str">
        <f t="shared" si="11"/>
        <v>February</v>
      </c>
      <c r="Q77" t="str">
        <f t="shared" si="12"/>
        <v>Q1</v>
      </c>
      <c r="R77" t="str">
        <f t="shared" si="13"/>
        <v>Low</v>
      </c>
    </row>
    <row r="78" spans="1:18" x14ac:dyDescent="0.3">
      <c r="A78" s="6" t="s">
        <v>175</v>
      </c>
      <c r="B78" s="7">
        <v>45981</v>
      </c>
      <c r="C78" s="6" t="s">
        <v>136</v>
      </c>
      <c r="D78" s="6" t="s">
        <v>21</v>
      </c>
      <c r="E78" s="6" t="s">
        <v>46</v>
      </c>
      <c r="F78" s="6" t="s">
        <v>80</v>
      </c>
      <c r="G78" s="6" t="s">
        <v>31</v>
      </c>
      <c r="H78" s="6">
        <v>6</v>
      </c>
      <c r="I78" s="8">
        <v>1399.8</v>
      </c>
      <c r="J78" s="8">
        <v>838.67</v>
      </c>
      <c r="K78" s="6" t="s">
        <v>41</v>
      </c>
      <c r="L78" s="9">
        <f t="shared" si="7"/>
        <v>8398.7999999999993</v>
      </c>
      <c r="M78" s="10">
        <f t="shared" si="8"/>
        <v>5032.0199999999995</v>
      </c>
      <c r="N78" s="10">
        <f t="shared" si="9"/>
        <v>3366.7799999999997</v>
      </c>
      <c r="O78" s="11">
        <f t="shared" si="10"/>
        <v>0.4008644092013145</v>
      </c>
      <c r="P78" t="str">
        <f t="shared" si="11"/>
        <v>November</v>
      </c>
      <c r="Q78" t="str">
        <f t="shared" si="12"/>
        <v>Q4</v>
      </c>
      <c r="R78" t="str">
        <f t="shared" si="13"/>
        <v>Low</v>
      </c>
    </row>
    <row r="79" spans="1:18" x14ac:dyDescent="0.3">
      <c r="A79" s="6" t="s">
        <v>176</v>
      </c>
      <c r="B79" s="7">
        <v>45795</v>
      </c>
      <c r="C79" s="6" t="s">
        <v>177</v>
      </c>
      <c r="D79" s="6" t="s">
        <v>28</v>
      </c>
      <c r="E79" s="6" t="s">
        <v>46</v>
      </c>
      <c r="F79" s="6" t="s">
        <v>73</v>
      </c>
      <c r="G79" s="6" t="s">
        <v>60</v>
      </c>
      <c r="H79" s="6">
        <v>16</v>
      </c>
      <c r="I79" s="8">
        <v>651.72</v>
      </c>
      <c r="J79" s="8">
        <v>459.1</v>
      </c>
      <c r="K79" s="6" t="s">
        <v>25</v>
      </c>
      <c r="L79" s="9">
        <f t="shared" si="7"/>
        <v>10427.52</v>
      </c>
      <c r="M79" s="10">
        <f t="shared" si="8"/>
        <v>7345.6</v>
      </c>
      <c r="N79" s="10">
        <f t="shared" si="9"/>
        <v>3081.92</v>
      </c>
      <c r="O79" s="11">
        <f t="shared" si="10"/>
        <v>0.29555637390290307</v>
      </c>
      <c r="P79" t="str">
        <f t="shared" si="11"/>
        <v>May</v>
      </c>
      <c r="Q79" t="str">
        <f t="shared" si="12"/>
        <v>Q2</v>
      </c>
      <c r="R79" t="str">
        <f t="shared" si="13"/>
        <v>High</v>
      </c>
    </row>
    <row r="80" spans="1:18" x14ac:dyDescent="0.3">
      <c r="A80" s="6" t="s">
        <v>178</v>
      </c>
      <c r="B80" s="7">
        <v>45771</v>
      </c>
      <c r="C80" s="6" t="s">
        <v>179</v>
      </c>
      <c r="D80" s="6" t="s">
        <v>38</v>
      </c>
      <c r="E80" s="6" t="s">
        <v>46</v>
      </c>
      <c r="F80" s="6" t="s">
        <v>47</v>
      </c>
      <c r="G80" s="6" t="s">
        <v>57</v>
      </c>
      <c r="H80" s="6">
        <v>3</v>
      </c>
      <c r="I80" s="8">
        <v>790.14</v>
      </c>
      <c r="J80" s="8">
        <v>543.75</v>
      </c>
      <c r="K80" s="6" t="s">
        <v>25</v>
      </c>
      <c r="L80" s="9">
        <f t="shared" si="7"/>
        <v>2370.42</v>
      </c>
      <c r="M80" s="10">
        <f t="shared" si="8"/>
        <v>1631.25</v>
      </c>
      <c r="N80" s="10">
        <f t="shared" si="9"/>
        <v>739.17000000000007</v>
      </c>
      <c r="O80" s="11">
        <f t="shared" si="10"/>
        <v>0.31183081479231528</v>
      </c>
      <c r="P80" t="str">
        <f t="shared" si="11"/>
        <v>April</v>
      </c>
      <c r="Q80" t="str">
        <f t="shared" si="12"/>
        <v>Q2</v>
      </c>
      <c r="R80" t="str">
        <f t="shared" si="13"/>
        <v>Low</v>
      </c>
    </row>
    <row r="81" spans="1:18" x14ac:dyDescent="0.3">
      <c r="A81" s="6" t="s">
        <v>180</v>
      </c>
      <c r="B81" s="7">
        <v>45952</v>
      </c>
      <c r="C81" s="6" t="s">
        <v>43</v>
      </c>
      <c r="D81" s="6" t="s">
        <v>28</v>
      </c>
      <c r="E81" s="6" t="s">
        <v>46</v>
      </c>
      <c r="F81" s="6" t="s">
        <v>73</v>
      </c>
      <c r="G81" s="6" t="s">
        <v>65</v>
      </c>
      <c r="H81" s="6">
        <v>16</v>
      </c>
      <c r="I81" s="8">
        <v>1479.64</v>
      </c>
      <c r="J81" s="8">
        <v>1161.1099999999999</v>
      </c>
      <c r="K81" s="6" t="s">
        <v>41</v>
      </c>
      <c r="L81" s="9">
        <f t="shared" si="7"/>
        <v>23674.240000000002</v>
      </c>
      <c r="M81" s="10">
        <f t="shared" si="8"/>
        <v>18577.759999999998</v>
      </c>
      <c r="N81" s="10">
        <f t="shared" si="9"/>
        <v>5096.4800000000032</v>
      </c>
      <c r="O81" s="11">
        <f t="shared" si="10"/>
        <v>0.21527533724419465</v>
      </c>
      <c r="P81" t="str">
        <f t="shared" si="11"/>
        <v>October</v>
      </c>
      <c r="Q81" t="str">
        <f t="shared" si="12"/>
        <v>Q4</v>
      </c>
      <c r="R81" t="str">
        <f t="shared" si="13"/>
        <v>High</v>
      </c>
    </row>
    <row r="82" spans="1:18" x14ac:dyDescent="0.3">
      <c r="A82" s="6" t="s">
        <v>181</v>
      </c>
      <c r="B82" s="7">
        <v>45770</v>
      </c>
      <c r="C82" s="6" t="s">
        <v>174</v>
      </c>
      <c r="D82" s="6" t="s">
        <v>21</v>
      </c>
      <c r="E82" s="6" t="s">
        <v>46</v>
      </c>
      <c r="F82" s="6" t="s">
        <v>73</v>
      </c>
      <c r="G82" s="6" t="s">
        <v>65</v>
      </c>
      <c r="H82" s="6">
        <v>18</v>
      </c>
      <c r="I82" s="8">
        <v>1446.46</v>
      </c>
      <c r="J82" s="8">
        <v>1180.67</v>
      </c>
      <c r="K82" s="6" t="s">
        <v>25</v>
      </c>
      <c r="L82" s="9">
        <f t="shared" si="7"/>
        <v>26036.28</v>
      </c>
      <c r="M82" s="10">
        <f t="shared" si="8"/>
        <v>21252.06</v>
      </c>
      <c r="N82" s="10">
        <f t="shared" si="9"/>
        <v>4784.2199999999975</v>
      </c>
      <c r="O82" s="11">
        <f t="shared" si="10"/>
        <v>0.1837520567454336</v>
      </c>
      <c r="P82" t="str">
        <f t="shared" si="11"/>
        <v>April</v>
      </c>
      <c r="Q82" t="str">
        <f t="shared" si="12"/>
        <v>Q2</v>
      </c>
      <c r="R82" t="str">
        <f t="shared" si="13"/>
        <v>High</v>
      </c>
    </row>
    <row r="83" spans="1:18" x14ac:dyDescent="0.3">
      <c r="A83" s="6" t="s">
        <v>182</v>
      </c>
      <c r="B83" s="7">
        <v>45789</v>
      </c>
      <c r="C83" s="6" t="s">
        <v>183</v>
      </c>
      <c r="D83" s="6" t="s">
        <v>21</v>
      </c>
      <c r="E83" s="6" t="s">
        <v>46</v>
      </c>
      <c r="F83" s="6" t="s">
        <v>47</v>
      </c>
      <c r="G83" s="6" t="s">
        <v>57</v>
      </c>
      <c r="H83" s="6">
        <v>17</v>
      </c>
      <c r="I83" s="8">
        <v>1459.56</v>
      </c>
      <c r="J83" s="8">
        <v>821.58</v>
      </c>
      <c r="K83" s="6" t="s">
        <v>41</v>
      </c>
      <c r="L83" s="9">
        <f t="shared" si="7"/>
        <v>24812.52</v>
      </c>
      <c r="M83" s="10">
        <f t="shared" si="8"/>
        <v>13966.86</v>
      </c>
      <c r="N83" s="10">
        <f t="shared" si="9"/>
        <v>10845.66</v>
      </c>
      <c r="O83" s="11">
        <f t="shared" si="10"/>
        <v>0.43710433281262845</v>
      </c>
      <c r="P83" t="str">
        <f t="shared" si="11"/>
        <v>May</v>
      </c>
      <c r="Q83" t="str">
        <f t="shared" si="12"/>
        <v>Q2</v>
      </c>
      <c r="R83" t="str">
        <f t="shared" si="13"/>
        <v>High</v>
      </c>
    </row>
    <row r="84" spans="1:18" x14ac:dyDescent="0.3">
      <c r="A84" s="6" t="s">
        <v>184</v>
      </c>
      <c r="B84" s="7">
        <v>45908</v>
      </c>
      <c r="C84" s="6" t="s">
        <v>108</v>
      </c>
      <c r="D84" s="6" t="s">
        <v>21</v>
      </c>
      <c r="E84" s="6" t="s">
        <v>29</v>
      </c>
      <c r="F84" s="6" t="s">
        <v>39</v>
      </c>
      <c r="G84" s="6" t="s">
        <v>24</v>
      </c>
      <c r="H84" s="6">
        <v>1</v>
      </c>
      <c r="I84" s="8">
        <v>948.07</v>
      </c>
      <c r="J84" s="8">
        <v>849.44</v>
      </c>
      <c r="K84" s="6" t="s">
        <v>32</v>
      </c>
      <c r="L84" s="9">
        <f t="shared" si="7"/>
        <v>948.07</v>
      </c>
      <c r="M84" s="10">
        <f t="shared" si="8"/>
        <v>849.44</v>
      </c>
      <c r="N84" s="10">
        <f t="shared" si="9"/>
        <v>98.63</v>
      </c>
      <c r="O84" s="11">
        <f t="shared" si="10"/>
        <v>0.10403240267068886</v>
      </c>
      <c r="P84" t="str">
        <f t="shared" si="11"/>
        <v>September</v>
      </c>
      <c r="Q84" t="str">
        <f t="shared" si="12"/>
        <v>Q3</v>
      </c>
      <c r="R84" t="str">
        <f t="shared" si="13"/>
        <v>Low</v>
      </c>
    </row>
    <row r="85" spans="1:18" x14ac:dyDescent="0.3">
      <c r="A85" s="6" t="s">
        <v>185</v>
      </c>
      <c r="B85" s="7">
        <v>45769</v>
      </c>
      <c r="C85" s="6" t="s">
        <v>145</v>
      </c>
      <c r="D85" s="6" t="s">
        <v>55</v>
      </c>
      <c r="E85" s="6" t="s">
        <v>46</v>
      </c>
      <c r="F85" s="6" t="s">
        <v>47</v>
      </c>
      <c r="G85" s="6" t="s">
        <v>60</v>
      </c>
      <c r="H85" s="6">
        <v>2</v>
      </c>
      <c r="I85" s="8">
        <v>104.94</v>
      </c>
      <c r="J85" s="8">
        <v>64.819999999999993</v>
      </c>
      <c r="K85" s="6" t="s">
        <v>41</v>
      </c>
      <c r="L85" s="9">
        <f t="shared" si="7"/>
        <v>209.88</v>
      </c>
      <c r="M85" s="10">
        <f t="shared" si="8"/>
        <v>129.63999999999999</v>
      </c>
      <c r="N85" s="10">
        <f t="shared" si="9"/>
        <v>80.240000000000009</v>
      </c>
      <c r="O85" s="11">
        <f t="shared" si="10"/>
        <v>0.38231370306842011</v>
      </c>
      <c r="P85" t="str">
        <f t="shared" si="11"/>
        <v>April</v>
      </c>
      <c r="Q85" t="str">
        <f t="shared" si="12"/>
        <v>Q2</v>
      </c>
      <c r="R85" t="str">
        <f t="shared" si="13"/>
        <v>Low</v>
      </c>
    </row>
    <row r="86" spans="1:18" x14ac:dyDescent="0.3">
      <c r="A86" s="6" t="s">
        <v>186</v>
      </c>
      <c r="B86" s="7">
        <v>45935</v>
      </c>
      <c r="C86" s="6" t="s">
        <v>77</v>
      </c>
      <c r="D86" s="6" t="s">
        <v>55</v>
      </c>
      <c r="E86" s="6" t="s">
        <v>29</v>
      </c>
      <c r="F86" s="6" t="s">
        <v>30</v>
      </c>
      <c r="G86" s="6" t="s">
        <v>60</v>
      </c>
      <c r="H86" s="6">
        <v>18</v>
      </c>
      <c r="I86" s="8">
        <v>15.8</v>
      </c>
      <c r="J86" s="8">
        <v>8.4</v>
      </c>
      <c r="K86" s="6" t="s">
        <v>32</v>
      </c>
      <c r="L86" s="9">
        <f t="shared" si="7"/>
        <v>284.40000000000003</v>
      </c>
      <c r="M86" s="10">
        <f t="shared" si="8"/>
        <v>151.20000000000002</v>
      </c>
      <c r="N86" s="10">
        <f t="shared" si="9"/>
        <v>133.20000000000002</v>
      </c>
      <c r="O86" s="11">
        <f t="shared" si="10"/>
        <v>0.46835443037974683</v>
      </c>
      <c r="P86" t="str">
        <f t="shared" si="11"/>
        <v>October</v>
      </c>
      <c r="Q86" t="str">
        <f t="shared" si="12"/>
        <v>Q4</v>
      </c>
      <c r="R86" t="str">
        <f t="shared" si="13"/>
        <v>Low</v>
      </c>
    </row>
    <row r="87" spans="1:18" x14ac:dyDescent="0.3">
      <c r="A87" s="6" t="s">
        <v>187</v>
      </c>
      <c r="B87" s="7">
        <v>45729</v>
      </c>
      <c r="C87" s="6" t="s">
        <v>62</v>
      </c>
      <c r="D87" s="6" t="s">
        <v>28</v>
      </c>
      <c r="E87" s="6" t="s">
        <v>29</v>
      </c>
      <c r="F87" s="6" t="s">
        <v>50</v>
      </c>
      <c r="G87" s="6" t="s">
        <v>65</v>
      </c>
      <c r="H87" s="6">
        <v>10</v>
      </c>
      <c r="I87" s="8">
        <v>842.27</v>
      </c>
      <c r="J87" s="8">
        <v>543.84</v>
      </c>
      <c r="K87" s="6" t="s">
        <v>25</v>
      </c>
      <c r="L87" s="9">
        <f t="shared" si="7"/>
        <v>8422.7000000000007</v>
      </c>
      <c r="M87" s="10">
        <f t="shared" si="8"/>
        <v>5438.4000000000005</v>
      </c>
      <c r="N87" s="10">
        <f t="shared" si="9"/>
        <v>2984.3</v>
      </c>
      <c r="O87" s="11">
        <f t="shared" si="10"/>
        <v>0.35431631187149015</v>
      </c>
      <c r="P87" t="str">
        <f t="shared" si="11"/>
        <v>March</v>
      </c>
      <c r="Q87" t="str">
        <f t="shared" si="12"/>
        <v>Q1</v>
      </c>
      <c r="R87" t="str">
        <f t="shared" si="13"/>
        <v>Low</v>
      </c>
    </row>
    <row r="88" spans="1:18" x14ac:dyDescent="0.3">
      <c r="A88" s="6" t="s">
        <v>188</v>
      </c>
      <c r="B88" s="7">
        <v>45912</v>
      </c>
      <c r="C88" s="6" t="s">
        <v>189</v>
      </c>
      <c r="D88" s="6" t="s">
        <v>38</v>
      </c>
      <c r="E88" s="6" t="s">
        <v>46</v>
      </c>
      <c r="F88" s="6" t="s">
        <v>73</v>
      </c>
      <c r="G88" s="6" t="s">
        <v>40</v>
      </c>
      <c r="H88" s="6">
        <v>20</v>
      </c>
      <c r="I88" s="8">
        <v>744.11</v>
      </c>
      <c r="J88" s="8">
        <v>413.86</v>
      </c>
      <c r="K88" s="6" t="s">
        <v>25</v>
      </c>
      <c r="L88" s="9">
        <f t="shared" si="7"/>
        <v>14882.2</v>
      </c>
      <c r="M88" s="10">
        <f t="shared" si="8"/>
        <v>8277.2000000000007</v>
      </c>
      <c r="N88" s="10">
        <f t="shared" si="9"/>
        <v>6605</v>
      </c>
      <c r="O88" s="11">
        <f t="shared" si="10"/>
        <v>0.44381879023262688</v>
      </c>
      <c r="P88" t="str">
        <f t="shared" si="11"/>
        <v>September</v>
      </c>
      <c r="Q88" t="str">
        <f t="shared" si="12"/>
        <v>Q3</v>
      </c>
      <c r="R88" t="str">
        <f t="shared" si="13"/>
        <v>High</v>
      </c>
    </row>
    <row r="89" spans="1:18" x14ac:dyDescent="0.3">
      <c r="A89" s="6" t="s">
        <v>190</v>
      </c>
      <c r="B89" s="7">
        <v>45992</v>
      </c>
      <c r="C89" s="6" t="s">
        <v>191</v>
      </c>
      <c r="D89" s="6" t="s">
        <v>21</v>
      </c>
      <c r="E89" s="6" t="s">
        <v>22</v>
      </c>
      <c r="F89" s="6" t="s">
        <v>56</v>
      </c>
      <c r="G89" s="6" t="s">
        <v>40</v>
      </c>
      <c r="H89" s="6">
        <v>16</v>
      </c>
      <c r="I89" s="8">
        <v>1314.39</v>
      </c>
      <c r="J89" s="8">
        <v>726.03</v>
      </c>
      <c r="K89" s="6" t="s">
        <v>25</v>
      </c>
      <c r="L89" s="9">
        <f t="shared" si="7"/>
        <v>21030.240000000002</v>
      </c>
      <c r="M89" s="10">
        <f t="shared" si="8"/>
        <v>11616.48</v>
      </c>
      <c r="N89" s="10">
        <f t="shared" si="9"/>
        <v>9413.760000000002</v>
      </c>
      <c r="O89" s="11">
        <f t="shared" si="10"/>
        <v>0.44762969894780097</v>
      </c>
      <c r="P89" t="str">
        <f t="shared" si="11"/>
        <v>December</v>
      </c>
      <c r="Q89" t="str">
        <f t="shared" si="12"/>
        <v>Q4</v>
      </c>
      <c r="R89" t="str">
        <f t="shared" si="13"/>
        <v>High</v>
      </c>
    </row>
    <row r="90" spans="1:18" x14ac:dyDescent="0.3">
      <c r="A90" s="6" t="s">
        <v>192</v>
      </c>
      <c r="B90" s="7">
        <v>45700</v>
      </c>
      <c r="C90" s="6" t="s">
        <v>150</v>
      </c>
      <c r="D90" s="6" t="s">
        <v>28</v>
      </c>
      <c r="E90" s="6" t="s">
        <v>22</v>
      </c>
      <c r="F90" s="6" t="s">
        <v>82</v>
      </c>
      <c r="G90" s="6" t="s">
        <v>24</v>
      </c>
      <c r="H90" s="6">
        <v>7</v>
      </c>
      <c r="I90" s="8">
        <v>1006.33</v>
      </c>
      <c r="J90" s="8">
        <v>818.33</v>
      </c>
      <c r="K90" s="6" t="s">
        <v>32</v>
      </c>
      <c r="L90" s="9">
        <f t="shared" si="7"/>
        <v>7044.31</v>
      </c>
      <c r="M90" s="10">
        <f t="shared" si="8"/>
        <v>5728.31</v>
      </c>
      <c r="N90" s="10">
        <f t="shared" si="9"/>
        <v>1316</v>
      </c>
      <c r="O90" s="11">
        <f t="shared" si="10"/>
        <v>0.18681744556954477</v>
      </c>
      <c r="P90" t="str">
        <f t="shared" si="11"/>
        <v>February</v>
      </c>
      <c r="Q90" t="str">
        <f t="shared" si="12"/>
        <v>Q1</v>
      </c>
      <c r="R90" t="str">
        <f t="shared" si="13"/>
        <v>Low</v>
      </c>
    </row>
    <row r="91" spans="1:18" x14ac:dyDescent="0.3">
      <c r="A91" s="6" t="s">
        <v>193</v>
      </c>
      <c r="B91" s="7">
        <v>45792</v>
      </c>
      <c r="C91" s="6" t="s">
        <v>191</v>
      </c>
      <c r="D91" s="6" t="s">
        <v>55</v>
      </c>
      <c r="E91" s="6" t="s">
        <v>46</v>
      </c>
      <c r="F91" s="6" t="s">
        <v>85</v>
      </c>
      <c r="G91" s="6" t="s">
        <v>60</v>
      </c>
      <c r="H91" s="6">
        <v>7</v>
      </c>
      <c r="I91" s="8">
        <v>1315.11</v>
      </c>
      <c r="J91" s="8">
        <v>719.14</v>
      </c>
      <c r="K91" s="6" t="s">
        <v>41</v>
      </c>
      <c r="L91" s="9">
        <f t="shared" si="7"/>
        <v>9205.7699999999986</v>
      </c>
      <c r="M91" s="10">
        <f t="shared" si="8"/>
        <v>5033.9799999999996</v>
      </c>
      <c r="N91" s="10">
        <f t="shared" si="9"/>
        <v>4171.7899999999991</v>
      </c>
      <c r="O91" s="11">
        <f t="shared" si="10"/>
        <v>0.45317121761677726</v>
      </c>
      <c r="P91" t="str">
        <f t="shared" si="11"/>
        <v>May</v>
      </c>
      <c r="Q91" t="str">
        <f t="shared" si="12"/>
        <v>Q2</v>
      </c>
      <c r="R91" t="str">
        <f t="shared" si="13"/>
        <v>Low</v>
      </c>
    </row>
    <row r="92" spans="1:18" x14ac:dyDescent="0.3">
      <c r="A92" s="6" t="s">
        <v>194</v>
      </c>
      <c r="B92" s="7">
        <v>45780</v>
      </c>
      <c r="C92" s="6" t="s">
        <v>195</v>
      </c>
      <c r="D92" s="6" t="s">
        <v>55</v>
      </c>
      <c r="E92" s="6" t="s">
        <v>29</v>
      </c>
      <c r="F92" s="6" t="s">
        <v>39</v>
      </c>
      <c r="G92" s="6" t="s">
        <v>65</v>
      </c>
      <c r="H92" s="6">
        <v>15</v>
      </c>
      <c r="I92" s="8">
        <v>1253.95</v>
      </c>
      <c r="J92" s="8">
        <v>682.45</v>
      </c>
      <c r="K92" s="6" t="s">
        <v>32</v>
      </c>
      <c r="L92" s="9">
        <f t="shared" si="7"/>
        <v>18809.25</v>
      </c>
      <c r="M92" s="10">
        <f t="shared" si="8"/>
        <v>10236.75</v>
      </c>
      <c r="N92" s="10">
        <f t="shared" si="9"/>
        <v>8572.5</v>
      </c>
      <c r="O92" s="11">
        <f t="shared" si="10"/>
        <v>0.45575979903504926</v>
      </c>
      <c r="P92" t="str">
        <f t="shared" si="11"/>
        <v>May</v>
      </c>
      <c r="Q92" t="str">
        <f t="shared" si="12"/>
        <v>Q2</v>
      </c>
      <c r="R92" t="str">
        <f t="shared" si="13"/>
        <v>High</v>
      </c>
    </row>
    <row r="93" spans="1:18" x14ac:dyDescent="0.3">
      <c r="A93" s="6" t="s">
        <v>196</v>
      </c>
      <c r="B93" s="7">
        <v>45746</v>
      </c>
      <c r="C93" s="6" t="s">
        <v>197</v>
      </c>
      <c r="D93" s="6" t="s">
        <v>38</v>
      </c>
      <c r="E93" s="6" t="s">
        <v>29</v>
      </c>
      <c r="F93" s="6" t="s">
        <v>39</v>
      </c>
      <c r="G93" s="6" t="s">
        <v>24</v>
      </c>
      <c r="H93" s="6">
        <v>20</v>
      </c>
      <c r="I93" s="8">
        <v>570.38</v>
      </c>
      <c r="J93" s="8">
        <v>337.1</v>
      </c>
      <c r="K93" s="6" t="s">
        <v>41</v>
      </c>
      <c r="L93" s="9">
        <f t="shared" si="7"/>
        <v>11407.6</v>
      </c>
      <c r="M93" s="10">
        <f t="shared" si="8"/>
        <v>6742</v>
      </c>
      <c r="N93" s="10">
        <f t="shared" si="9"/>
        <v>4665.6000000000004</v>
      </c>
      <c r="O93" s="11">
        <f t="shared" si="10"/>
        <v>0.40899049756302819</v>
      </c>
      <c r="P93" t="str">
        <f t="shared" si="11"/>
        <v>March</v>
      </c>
      <c r="Q93" t="str">
        <f t="shared" si="12"/>
        <v>Q1</v>
      </c>
      <c r="R93" t="str">
        <f t="shared" si="13"/>
        <v>High</v>
      </c>
    </row>
    <row r="94" spans="1:18" x14ac:dyDescent="0.3">
      <c r="A94" s="6" t="s">
        <v>198</v>
      </c>
      <c r="B94" s="7">
        <v>45779</v>
      </c>
      <c r="C94" s="6" t="s">
        <v>199</v>
      </c>
      <c r="D94" s="6" t="s">
        <v>21</v>
      </c>
      <c r="E94" s="6" t="s">
        <v>46</v>
      </c>
      <c r="F94" s="6" t="s">
        <v>73</v>
      </c>
      <c r="G94" s="6" t="s">
        <v>31</v>
      </c>
      <c r="H94" s="6">
        <v>9</v>
      </c>
      <c r="I94" s="8">
        <v>641.91999999999996</v>
      </c>
      <c r="J94" s="8">
        <v>492.69</v>
      </c>
      <c r="K94" s="6" t="s">
        <v>41</v>
      </c>
      <c r="L94" s="9">
        <f t="shared" si="7"/>
        <v>5777.28</v>
      </c>
      <c r="M94" s="10">
        <f t="shared" si="8"/>
        <v>4434.21</v>
      </c>
      <c r="N94" s="10">
        <f t="shared" si="9"/>
        <v>1343.0699999999997</v>
      </c>
      <c r="O94" s="11">
        <f t="shared" si="10"/>
        <v>0.23247445164506478</v>
      </c>
      <c r="P94" t="str">
        <f t="shared" si="11"/>
        <v>May</v>
      </c>
      <c r="Q94" t="str">
        <f t="shared" si="12"/>
        <v>Q2</v>
      </c>
      <c r="R94" t="str">
        <f t="shared" si="13"/>
        <v>Low</v>
      </c>
    </row>
    <row r="95" spans="1:18" x14ac:dyDescent="0.3">
      <c r="A95" s="6" t="s">
        <v>200</v>
      </c>
      <c r="B95" s="7">
        <v>45693</v>
      </c>
      <c r="C95" s="6" t="s">
        <v>45</v>
      </c>
      <c r="D95" s="6" t="s">
        <v>38</v>
      </c>
      <c r="E95" s="6" t="s">
        <v>46</v>
      </c>
      <c r="F95" s="6" t="s">
        <v>85</v>
      </c>
      <c r="G95" s="6" t="s">
        <v>40</v>
      </c>
      <c r="H95" s="6">
        <v>3</v>
      </c>
      <c r="I95" s="8">
        <v>860.54</v>
      </c>
      <c r="J95" s="8">
        <v>751.94</v>
      </c>
      <c r="K95" s="6" t="s">
        <v>32</v>
      </c>
      <c r="L95" s="9">
        <f t="shared" si="7"/>
        <v>2581.62</v>
      </c>
      <c r="M95" s="10">
        <f t="shared" si="8"/>
        <v>2255.8200000000002</v>
      </c>
      <c r="N95" s="10">
        <f t="shared" si="9"/>
        <v>325.79999999999973</v>
      </c>
      <c r="O95" s="11">
        <f t="shared" si="10"/>
        <v>0.12619982801496724</v>
      </c>
      <c r="P95" t="str">
        <f t="shared" si="11"/>
        <v>February</v>
      </c>
      <c r="Q95" t="str">
        <f t="shared" si="12"/>
        <v>Q1</v>
      </c>
      <c r="R95" t="str">
        <f t="shared" si="13"/>
        <v>Low</v>
      </c>
    </row>
    <row r="96" spans="1:18" x14ac:dyDescent="0.3">
      <c r="A96" s="6" t="s">
        <v>201</v>
      </c>
      <c r="B96" s="7">
        <v>45917</v>
      </c>
      <c r="C96" s="6" t="s">
        <v>202</v>
      </c>
      <c r="D96" s="6" t="s">
        <v>28</v>
      </c>
      <c r="E96" s="6" t="s">
        <v>46</v>
      </c>
      <c r="F96" s="6" t="s">
        <v>47</v>
      </c>
      <c r="G96" s="6" t="s">
        <v>60</v>
      </c>
      <c r="H96" s="6">
        <v>10</v>
      </c>
      <c r="I96" s="8">
        <v>1475.88</v>
      </c>
      <c r="J96" s="8">
        <v>1314.96</v>
      </c>
      <c r="K96" s="6" t="s">
        <v>41</v>
      </c>
      <c r="L96" s="9">
        <f t="shared" si="7"/>
        <v>14758.800000000001</v>
      </c>
      <c r="M96" s="10">
        <f t="shared" si="8"/>
        <v>13149.6</v>
      </c>
      <c r="N96" s="10">
        <f t="shared" si="9"/>
        <v>1609.2000000000007</v>
      </c>
      <c r="O96" s="11">
        <f t="shared" si="10"/>
        <v>0.10903325473615745</v>
      </c>
      <c r="P96" t="str">
        <f t="shared" si="11"/>
        <v>September</v>
      </c>
      <c r="Q96" t="str">
        <f t="shared" si="12"/>
        <v>Q3</v>
      </c>
      <c r="R96" t="str">
        <f t="shared" si="13"/>
        <v>High</v>
      </c>
    </row>
    <row r="97" spans="1:18" x14ac:dyDescent="0.3">
      <c r="A97" s="6" t="s">
        <v>203</v>
      </c>
      <c r="B97" s="7">
        <v>45791</v>
      </c>
      <c r="C97" s="6" t="s">
        <v>204</v>
      </c>
      <c r="D97" s="6" t="s">
        <v>55</v>
      </c>
      <c r="E97" s="6" t="s">
        <v>46</v>
      </c>
      <c r="F97" s="6" t="s">
        <v>80</v>
      </c>
      <c r="G97" s="6" t="s">
        <v>65</v>
      </c>
      <c r="H97" s="6">
        <v>2</v>
      </c>
      <c r="I97" s="8">
        <v>1270.3499999999999</v>
      </c>
      <c r="J97" s="8">
        <v>1054.68</v>
      </c>
      <c r="K97" s="6" t="s">
        <v>41</v>
      </c>
      <c r="L97" s="9">
        <f t="shared" si="7"/>
        <v>2540.6999999999998</v>
      </c>
      <c r="M97" s="10">
        <f t="shared" si="8"/>
        <v>2109.36</v>
      </c>
      <c r="N97" s="10">
        <f t="shared" si="9"/>
        <v>431.33999999999969</v>
      </c>
      <c r="O97" s="11">
        <f t="shared" si="10"/>
        <v>0.16977211004841175</v>
      </c>
      <c r="P97" t="str">
        <f t="shared" si="11"/>
        <v>May</v>
      </c>
      <c r="Q97" t="str">
        <f t="shared" si="12"/>
        <v>Q2</v>
      </c>
      <c r="R97" t="str">
        <f t="shared" si="13"/>
        <v>Low</v>
      </c>
    </row>
    <row r="98" spans="1:18" x14ac:dyDescent="0.3">
      <c r="A98" s="6" t="s">
        <v>205</v>
      </c>
      <c r="B98" s="7">
        <v>45945</v>
      </c>
      <c r="C98" s="6" t="s">
        <v>206</v>
      </c>
      <c r="D98" s="6" t="s">
        <v>55</v>
      </c>
      <c r="E98" s="6" t="s">
        <v>29</v>
      </c>
      <c r="F98" s="6" t="s">
        <v>39</v>
      </c>
      <c r="G98" s="6" t="s">
        <v>60</v>
      </c>
      <c r="H98" s="6">
        <v>11</v>
      </c>
      <c r="I98" s="8">
        <v>643.72</v>
      </c>
      <c r="J98" s="8">
        <v>328.85</v>
      </c>
      <c r="K98" s="6" t="s">
        <v>41</v>
      </c>
      <c r="L98" s="9">
        <f t="shared" si="7"/>
        <v>7080.92</v>
      </c>
      <c r="M98" s="10">
        <f t="shared" si="8"/>
        <v>3617.3500000000004</v>
      </c>
      <c r="N98" s="10">
        <f t="shared" si="9"/>
        <v>3463.5699999999997</v>
      </c>
      <c r="O98" s="11">
        <f t="shared" si="10"/>
        <v>0.48914124153358596</v>
      </c>
      <c r="P98" t="str">
        <f t="shared" si="11"/>
        <v>October</v>
      </c>
      <c r="Q98" t="str">
        <f t="shared" si="12"/>
        <v>Q4</v>
      </c>
      <c r="R98" t="str">
        <f t="shared" si="13"/>
        <v>Low</v>
      </c>
    </row>
    <row r="99" spans="1:18" x14ac:dyDescent="0.3">
      <c r="A99" s="6" t="s">
        <v>207</v>
      </c>
      <c r="B99" s="7">
        <v>45815</v>
      </c>
      <c r="C99" s="6" t="s">
        <v>208</v>
      </c>
      <c r="D99" s="6" t="s">
        <v>38</v>
      </c>
      <c r="E99" s="6" t="s">
        <v>29</v>
      </c>
      <c r="F99" s="6" t="s">
        <v>50</v>
      </c>
      <c r="G99" s="6" t="s">
        <v>65</v>
      </c>
      <c r="H99" s="6">
        <v>8</v>
      </c>
      <c r="I99" s="8">
        <v>41.05</v>
      </c>
      <c r="J99" s="8">
        <v>34.97</v>
      </c>
      <c r="K99" s="6" t="s">
        <v>41</v>
      </c>
      <c r="L99" s="9">
        <f t="shared" si="7"/>
        <v>328.4</v>
      </c>
      <c r="M99" s="10">
        <f t="shared" si="8"/>
        <v>279.76</v>
      </c>
      <c r="N99" s="10">
        <f t="shared" si="9"/>
        <v>48.639999999999986</v>
      </c>
      <c r="O99" s="11">
        <f t="shared" si="10"/>
        <v>0.14811205846528622</v>
      </c>
      <c r="P99" t="str">
        <f t="shared" si="11"/>
        <v>June</v>
      </c>
      <c r="Q99" t="str">
        <f t="shared" si="12"/>
        <v>Q2</v>
      </c>
      <c r="R99" t="str">
        <f t="shared" si="13"/>
        <v>Low</v>
      </c>
    </row>
    <row r="100" spans="1:18" x14ac:dyDescent="0.3">
      <c r="A100" s="6" t="s">
        <v>209</v>
      </c>
      <c r="B100" s="7">
        <v>45994</v>
      </c>
      <c r="C100" s="6" t="s">
        <v>136</v>
      </c>
      <c r="D100" s="6" t="s">
        <v>28</v>
      </c>
      <c r="E100" s="6" t="s">
        <v>29</v>
      </c>
      <c r="F100" s="6" t="s">
        <v>39</v>
      </c>
      <c r="G100" s="6" t="s">
        <v>65</v>
      </c>
      <c r="H100" s="6">
        <v>11</v>
      </c>
      <c r="I100" s="8">
        <v>23.76</v>
      </c>
      <c r="J100" s="8">
        <v>18.75</v>
      </c>
      <c r="K100" s="6" t="s">
        <v>41</v>
      </c>
      <c r="L100" s="9">
        <f t="shared" si="7"/>
        <v>261.36</v>
      </c>
      <c r="M100" s="10">
        <f t="shared" si="8"/>
        <v>206.25</v>
      </c>
      <c r="N100" s="10">
        <f t="shared" si="9"/>
        <v>55.110000000000014</v>
      </c>
      <c r="O100" s="11">
        <f t="shared" si="10"/>
        <v>0.21085858585858591</v>
      </c>
      <c r="P100" t="str">
        <f t="shared" si="11"/>
        <v>December</v>
      </c>
      <c r="Q100" t="str">
        <f t="shared" si="12"/>
        <v>Q4</v>
      </c>
      <c r="R100" t="str">
        <f t="shared" si="13"/>
        <v>Low</v>
      </c>
    </row>
    <row r="101" spans="1:18" x14ac:dyDescent="0.3">
      <c r="A101" s="6" t="s">
        <v>210</v>
      </c>
      <c r="B101" s="7">
        <v>45950</v>
      </c>
      <c r="C101" s="6" t="s">
        <v>211</v>
      </c>
      <c r="D101" s="6" t="s">
        <v>21</v>
      </c>
      <c r="E101" s="6" t="s">
        <v>22</v>
      </c>
      <c r="F101" s="6" t="s">
        <v>68</v>
      </c>
      <c r="G101" s="6" t="s">
        <v>57</v>
      </c>
      <c r="H101" s="6">
        <v>11</v>
      </c>
      <c r="I101" s="8">
        <v>1322.46</v>
      </c>
      <c r="J101" s="8">
        <v>702.98</v>
      </c>
      <c r="K101" s="6" t="s">
        <v>25</v>
      </c>
      <c r="L101" s="9">
        <f t="shared" si="7"/>
        <v>14547.060000000001</v>
      </c>
      <c r="M101" s="10">
        <f t="shared" si="8"/>
        <v>7732.7800000000007</v>
      </c>
      <c r="N101" s="10">
        <f t="shared" si="9"/>
        <v>6814.2800000000007</v>
      </c>
      <c r="O101" s="11">
        <f t="shared" si="10"/>
        <v>0.46843004703355867</v>
      </c>
      <c r="P101" t="str">
        <f t="shared" si="11"/>
        <v>October</v>
      </c>
      <c r="Q101" t="str">
        <f t="shared" si="12"/>
        <v>Q4</v>
      </c>
      <c r="R101" t="str">
        <f t="shared" si="13"/>
        <v>High</v>
      </c>
    </row>
    <row r="102" spans="1:18" x14ac:dyDescent="0.3">
      <c r="A102" s="6" t="s">
        <v>212</v>
      </c>
      <c r="B102" s="7">
        <v>45663</v>
      </c>
      <c r="C102" s="6" t="s">
        <v>213</v>
      </c>
      <c r="D102" s="6" t="s">
        <v>55</v>
      </c>
      <c r="E102" s="6" t="s">
        <v>29</v>
      </c>
      <c r="F102" s="6" t="s">
        <v>39</v>
      </c>
      <c r="G102" s="6" t="s">
        <v>40</v>
      </c>
      <c r="H102" s="6">
        <v>6</v>
      </c>
      <c r="I102" s="8">
        <v>1368.61</v>
      </c>
      <c r="J102" s="8">
        <v>791.09</v>
      </c>
      <c r="K102" s="6" t="s">
        <v>41</v>
      </c>
      <c r="L102" s="9">
        <f t="shared" si="7"/>
        <v>8211.66</v>
      </c>
      <c r="M102" s="10">
        <f t="shared" si="8"/>
        <v>4746.54</v>
      </c>
      <c r="N102" s="10">
        <f t="shared" si="9"/>
        <v>3465.12</v>
      </c>
      <c r="O102" s="11">
        <f t="shared" si="10"/>
        <v>0.42197558106399924</v>
      </c>
      <c r="P102" t="str">
        <f t="shared" si="11"/>
        <v>January</v>
      </c>
      <c r="Q102" t="str">
        <f t="shared" si="12"/>
        <v>Q1</v>
      </c>
      <c r="R102" t="str">
        <f t="shared" si="13"/>
        <v>Low</v>
      </c>
    </row>
    <row r="103" spans="1:18" x14ac:dyDescent="0.3">
      <c r="A103" s="6" t="s">
        <v>214</v>
      </c>
      <c r="B103" s="7">
        <v>45817</v>
      </c>
      <c r="C103" s="6" t="s">
        <v>108</v>
      </c>
      <c r="D103" s="6" t="s">
        <v>28</v>
      </c>
      <c r="E103" s="6" t="s">
        <v>22</v>
      </c>
      <c r="F103" s="6" t="s">
        <v>82</v>
      </c>
      <c r="G103" s="6" t="s">
        <v>24</v>
      </c>
      <c r="H103" s="6">
        <v>8</v>
      </c>
      <c r="I103" s="8">
        <v>1267.0999999999999</v>
      </c>
      <c r="J103" s="8">
        <v>926.22</v>
      </c>
      <c r="K103" s="6" t="s">
        <v>32</v>
      </c>
      <c r="L103" s="9">
        <f t="shared" si="7"/>
        <v>10136.799999999999</v>
      </c>
      <c r="M103" s="10">
        <f t="shared" si="8"/>
        <v>7409.76</v>
      </c>
      <c r="N103" s="10">
        <f t="shared" si="9"/>
        <v>2727.0399999999991</v>
      </c>
      <c r="O103" s="11">
        <f t="shared" si="10"/>
        <v>0.26902375503117348</v>
      </c>
      <c r="P103" t="str">
        <f t="shared" si="11"/>
        <v>June</v>
      </c>
      <c r="Q103" t="str">
        <f t="shared" si="12"/>
        <v>Q2</v>
      </c>
      <c r="R103" t="str">
        <f t="shared" si="13"/>
        <v>High</v>
      </c>
    </row>
    <row r="104" spans="1:18" x14ac:dyDescent="0.3">
      <c r="A104" s="6" t="s">
        <v>215</v>
      </c>
      <c r="B104" s="7">
        <v>45979</v>
      </c>
      <c r="C104" s="6" t="s">
        <v>216</v>
      </c>
      <c r="D104" s="6" t="s">
        <v>55</v>
      </c>
      <c r="E104" s="6" t="s">
        <v>29</v>
      </c>
      <c r="F104" s="6" t="s">
        <v>50</v>
      </c>
      <c r="G104" s="6" t="s">
        <v>60</v>
      </c>
      <c r="H104" s="6">
        <v>11</v>
      </c>
      <c r="I104" s="8">
        <v>755.38</v>
      </c>
      <c r="J104" s="8">
        <v>563.95000000000005</v>
      </c>
      <c r="K104" s="6" t="s">
        <v>41</v>
      </c>
      <c r="L104" s="9">
        <f t="shared" si="7"/>
        <v>8309.18</v>
      </c>
      <c r="M104" s="10">
        <f t="shared" si="8"/>
        <v>6203.4500000000007</v>
      </c>
      <c r="N104" s="10">
        <f t="shared" si="9"/>
        <v>2105.7299999999996</v>
      </c>
      <c r="O104" s="11">
        <f t="shared" si="10"/>
        <v>0.25342211866874942</v>
      </c>
      <c r="P104" t="str">
        <f t="shared" si="11"/>
        <v>November</v>
      </c>
      <c r="Q104" t="str">
        <f t="shared" si="12"/>
        <v>Q4</v>
      </c>
      <c r="R104" t="str">
        <f t="shared" si="13"/>
        <v>Low</v>
      </c>
    </row>
    <row r="105" spans="1:18" x14ac:dyDescent="0.3">
      <c r="A105" s="6" t="s">
        <v>217</v>
      </c>
      <c r="B105" s="7">
        <v>45951</v>
      </c>
      <c r="C105" s="6" t="s">
        <v>131</v>
      </c>
      <c r="D105" s="6" t="s">
        <v>21</v>
      </c>
      <c r="E105" s="6" t="s">
        <v>22</v>
      </c>
      <c r="F105" s="6" t="s">
        <v>68</v>
      </c>
      <c r="G105" s="6" t="s">
        <v>31</v>
      </c>
      <c r="H105" s="6">
        <v>9</v>
      </c>
      <c r="I105" s="8">
        <v>910.68</v>
      </c>
      <c r="J105" s="8">
        <v>774.15</v>
      </c>
      <c r="K105" s="6" t="s">
        <v>41</v>
      </c>
      <c r="L105" s="9">
        <f t="shared" si="7"/>
        <v>8196.119999999999</v>
      </c>
      <c r="M105" s="10">
        <f t="shared" si="8"/>
        <v>6967.3499999999995</v>
      </c>
      <c r="N105" s="10">
        <f t="shared" si="9"/>
        <v>1228.7699999999995</v>
      </c>
      <c r="O105" s="11">
        <f t="shared" si="10"/>
        <v>0.1499209382000263</v>
      </c>
      <c r="P105" t="str">
        <f t="shared" si="11"/>
        <v>October</v>
      </c>
      <c r="Q105" t="str">
        <f t="shared" si="12"/>
        <v>Q4</v>
      </c>
      <c r="R105" t="str">
        <f t="shared" si="13"/>
        <v>Low</v>
      </c>
    </row>
    <row r="106" spans="1:18" x14ac:dyDescent="0.3">
      <c r="A106" s="6" t="s">
        <v>218</v>
      </c>
      <c r="B106" s="7">
        <v>45946</v>
      </c>
      <c r="C106" s="6" t="s">
        <v>145</v>
      </c>
      <c r="D106" s="6" t="s">
        <v>38</v>
      </c>
      <c r="E106" s="6" t="s">
        <v>46</v>
      </c>
      <c r="F106" s="6" t="s">
        <v>80</v>
      </c>
      <c r="G106" s="6" t="s">
        <v>31</v>
      </c>
      <c r="H106" s="6">
        <v>16</v>
      </c>
      <c r="I106" s="8">
        <v>399.73</v>
      </c>
      <c r="J106" s="8">
        <v>254.56</v>
      </c>
      <c r="K106" s="6" t="s">
        <v>41</v>
      </c>
      <c r="L106" s="9">
        <f t="shared" si="7"/>
        <v>6395.68</v>
      </c>
      <c r="M106" s="10">
        <f t="shared" si="8"/>
        <v>4072.96</v>
      </c>
      <c r="N106" s="10">
        <f t="shared" si="9"/>
        <v>2322.7200000000003</v>
      </c>
      <c r="O106" s="11">
        <f t="shared" si="10"/>
        <v>0.363170139844395</v>
      </c>
      <c r="P106" t="str">
        <f t="shared" si="11"/>
        <v>October</v>
      </c>
      <c r="Q106" t="str">
        <f t="shared" si="12"/>
        <v>Q4</v>
      </c>
      <c r="R106" t="str">
        <f t="shared" si="13"/>
        <v>Low</v>
      </c>
    </row>
    <row r="107" spans="1:18" x14ac:dyDescent="0.3">
      <c r="A107" s="6" t="s">
        <v>219</v>
      </c>
      <c r="B107" s="7">
        <v>45741</v>
      </c>
      <c r="C107" s="6" t="s">
        <v>220</v>
      </c>
      <c r="D107" s="6" t="s">
        <v>21</v>
      </c>
      <c r="E107" s="6" t="s">
        <v>29</v>
      </c>
      <c r="F107" s="6" t="s">
        <v>39</v>
      </c>
      <c r="G107" s="6" t="s">
        <v>31</v>
      </c>
      <c r="H107" s="6">
        <v>15</v>
      </c>
      <c r="I107" s="8">
        <v>1013.83</v>
      </c>
      <c r="J107" s="8">
        <v>668.92</v>
      </c>
      <c r="K107" s="6" t="s">
        <v>32</v>
      </c>
      <c r="L107" s="9">
        <f t="shared" si="7"/>
        <v>15207.45</v>
      </c>
      <c r="M107" s="10">
        <f t="shared" si="8"/>
        <v>10033.799999999999</v>
      </c>
      <c r="N107" s="10">
        <f t="shared" si="9"/>
        <v>5173.6500000000015</v>
      </c>
      <c r="O107" s="11">
        <f t="shared" si="10"/>
        <v>0.34020496532949318</v>
      </c>
      <c r="P107" t="str">
        <f t="shared" si="11"/>
        <v>March</v>
      </c>
      <c r="Q107" t="str">
        <f t="shared" si="12"/>
        <v>Q1</v>
      </c>
      <c r="R107" t="str">
        <f t="shared" si="13"/>
        <v>High</v>
      </c>
    </row>
    <row r="108" spans="1:18" x14ac:dyDescent="0.3">
      <c r="A108" s="6" t="s">
        <v>221</v>
      </c>
      <c r="B108" s="7">
        <v>45863</v>
      </c>
      <c r="C108" s="6" t="s">
        <v>43</v>
      </c>
      <c r="D108" s="6" t="s">
        <v>55</v>
      </c>
      <c r="E108" s="6" t="s">
        <v>29</v>
      </c>
      <c r="F108" s="6" t="s">
        <v>50</v>
      </c>
      <c r="G108" s="6" t="s">
        <v>57</v>
      </c>
      <c r="H108" s="6">
        <v>14</v>
      </c>
      <c r="I108" s="8">
        <v>1362.57</v>
      </c>
      <c r="J108" s="8">
        <v>708.02</v>
      </c>
      <c r="K108" s="6" t="s">
        <v>41</v>
      </c>
      <c r="L108" s="9">
        <f t="shared" si="7"/>
        <v>19075.98</v>
      </c>
      <c r="M108" s="10">
        <f t="shared" si="8"/>
        <v>9912.2799999999988</v>
      </c>
      <c r="N108" s="10">
        <f t="shared" si="9"/>
        <v>9163.7000000000007</v>
      </c>
      <c r="O108" s="11">
        <f t="shared" si="10"/>
        <v>0.48037898970328136</v>
      </c>
      <c r="P108" t="str">
        <f t="shared" si="11"/>
        <v>July</v>
      </c>
      <c r="Q108" t="str">
        <f t="shared" si="12"/>
        <v>Q3</v>
      </c>
      <c r="R108" t="str">
        <f t="shared" si="13"/>
        <v>High</v>
      </c>
    </row>
    <row r="109" spans="1:18" x14ac:dyDescent="0.3">
      <c r="A109" s="6" t="s">
        <v>222</v>
      </c>
      <c r="B109" s="7">
        <v>45802</v>
      </c>
      <c r="C109" s="6" t="s">
        <v>223</v>
      </c>
      <c r="D109" s="6" t="s">
        <v>38</v>
      </c>
      <c r="E109" s="6" t="s">
        <v>46</v>
      </c>
      <c r="F109" s="6" t="s">
        <v>73</v>
      </c>
      <c r="G109" s="6" t="s">
        <v>40</v>
      </c>
      <c r="H109" s="6">
        <v>9</v>
      </c>
      <c r="I109" s="8">
        <v>915.31</v>
      </c>
      <c r="J109" s="8">
        <v>729.06</v>
      </c>
      <c r="K109" s="6" t="s">
        <v>41</v>
      </c>
      <c r="L109" s="9">
        <f t="shared" si="7"/>
        <v>8237.7899999999991</v>
      </c>
      <c r="M109" s="10">
        <f t="shared" si="8"/>
        <v>6561.5399999999991</v>
      </c>
      <c r="N109" s="10">
        <f t="shared" si="9"/>
        <v>1676.25</v>
      </c>
      <c r="O109" s="11">
        <f t="shared" si="10"/>
        <v>0.20348297298183132</v>
      </c>
      <c r="P109" t="str">
        <f t="shared" si="11"/>
        <v>May</v>
      </c>
      <c r="Q109" t="str">
        <f t="shared" si="12"/>
        <v>Q2</v>
      </c>
      <c r="R109" t="str">
        <f t="shared" si="13"/>
        <v>Low</v>
      </c>
    </row>
    <row r="110" spans="1:18" x14ac:dyDescent="0.3">
      <c r="A110" s="6" t="s">
        <v>224</v>
      </c>
      <c r="B110" s="7">
        <v>45905</v>
      </c>
      <c r="C110" s="6" t="s">
        <v>225</v>
      </c>
      <c r="D110" s="6" t="s">
        <v>55</v>
      </c>
      <c r="E110" s="6" t="s">
        <v>46</v>
      </c>
      <c r="F110" s="6" t="s">
        <v>85</v>
      </c>
      <c r="G110" s="6" t="s">
        <v>65</v>
      </c>
      <c r="H110" s="6">
        <v>20</v>
      </c>
      <c r="I110" s="8">
        <v>1004.74</v>
      </c>
      <c r="J110" s="8">
        <v>866.21</v>
      </c>
      <c r="K110" s="6" t="s">
        <v>32</v>
      </c>
      <c r="L110" s="9">
        <f t="shared" si="7"/>
        <v>20094.8</v>
      </c>
      <c r="M110" s="10">
        <f t="shared" si="8"/>
        <v>17324.2</v>
      </c>
      <c r="N110" s="10">
        <f t="shared" si="9"/>
        <v>2770.5999999999985</v>
      </c>
      <c r="O110" s="11">
        <f t="shared" si="10"/>
        <v>0.1378764655532774</v>
      </c>
      <c r="P110" t="str">
        <f t="shared" si="11"/>
        <v>September</v>
      </c>
      <c r="Q110" t="str">
        <f t="shared" si="12"/>
        <v>Q3</v>
      </c>
      <c r="R110" t="str">
        <f t="shared" si="13"/>
        <v>High</v>
      </c>
    </row>
    <row r="111" spans="1:18" x14ac:dyDescent="0.3">
      <c r="A111" s="6" t="s">
        <v>226</v>
      </c>
      <c r="B111" s="7">
        <v>45753</v>
      </c>
      <c r="C111" s="6" t="s">
        <v>227</v>
      </c>
      <c r="D111" s="6" t="s">
        <v>28</v>
      </c>
      <c r="E111" s="6" t="s">
        <v>22</v>
      </c>
      <c r="F111" s="6" t="s">
        <v>82</v>
      </c>
      <c r="G111" s="6" t="s">
        <v>31</v>
      </c>
      <c r="H111" s="6">
        <v>13</v>
      </c>
      <c r="I111" s="8">
        <v>1106.67</v>
      </c>
      <c r="J111" s="8">
        <v>942.55</v>
      </c>
      <c r="K111" s="6" t="s">
        <v>32</v>
      </c>
      <c r="L111" s="9">
        <f t="shared" si="7"/>
        <v>14386.710000000001</v>
      </c>
      <c r="M111" s="10">
        <f t="shared" si="8"/>
        <v>12253.15</v>
      </c>
      <c r="N111" s="10">
        <f t="shared" si="9"/>
        <v>2133.5600000000013</v>
      </c>
      <c r="O111" s="11">
        <f t="shared" si="10"/>
        <v>0.14830075813024668</v>
      </c>
      <c r="P111" t="str">
        <f t="shared" si="11"/>
        <v>April</v>
      </c>
      <c r="Q111" t="str">
        <f t="shared" si="12"/>
        <v>Q2</v>
      </c>
      <c r="R111" t="str">
        <f t="shared" si="13"/>
        <v>High</v>
      </c>
    </row>
    <row r="112" spans="1:18" x14ac:dyDescent="0.3">
      <c r="A112" s="6" t="s">
        <v>228</v>
      </c>
      <c r="B112" s="7">
        <v>45790</v>
      </c>
      <c r="C112" s="6" t="s">
        <v>229</v>
      </c>
      <c r="D112" s="6" t="s">
        <v>38</v>
      </c>
      <c r="E112" s="6" t="s">
        <v>22</v>
      </c>
      <c r="F112" s="6" t="s">
        <v>82</v>
      </c>
      <c r="G112" s="6" t="s">
        <v>60</v>
      </c>
      <c r="H112" s="6">
        <v>12</v>
      </c>
      <c r="I112" s="8">
        <v>1089.5899999999999</v>
      </c>
      <c r="J112" s="8">
        <v>796.45</v>
      </c>
      <c r="K112" s="6" t="s">
        <v>41</v>
      </c>
      <c r="L112" s="9">
        <f t="shared" si="7"/>
        <v>13075.079999999998</v>
      </c>
      <c r="M112" s="10">
        <f t="shared" si="8"/>
        <v>9557.4000000000015</v>
      </c>
      <c r="N112" s="10">
        <f t="shared" si="9"/>
        <v>3517.6799999999967</v>
      </c>
      <c r="O112" s="11">
        <f t="shared" si="10"/>
        <v>0.26903697721161152</v>
      </c>
      <c r="P112" t="str">
        <f t="shared" si="11"/>
        <v>May</v>
      </c>
      <c r="Q112" t="str">
        <f t="shared" si="12"/>
        <v>Q2</v>
      </c>
      <c r="R112" t="str">
        <f t="shared" si="13"/>
        <v>High</v>
      </c>
    </row>
    <row r="113" spans="1:18" x14ac:dyDescent="0.3">
      <c r="A113" s="6" t="s">
        <v>230</v>
      </c>
      <c r="B113" s="7">
        <v>45687</v>
      </c>
      <c r="C113" s="6" t="s">
        <v>231</v>
      </c>
      <c r="D113" s="6" t="s">
        <v>21</v>
      </c>
      <c r="E113" s="6" t="s">
        <v>29</v>
      </c>
      <c r="F113" s="6" t="s">
        <v>30</v>
      </c>
      <c r="G113" s="6" t="s">
        <v>40</v>
      </c>
      <c r="H113" s="6">
        <v>3</v>
      </c>
      <c r="I113" s="8">
        <v>609.20000000000005</v>
      </c>
      <c r="J113" s="8">
        <v>364.81</v>
      </c>
      <c r="K113" s="6" t="s">
        <v>32</v>
      </c>
      <c r="L113" s="9">
        <f t="shared" si="7"/>
        <v>1827.6000000000001</v>
      </c>
      <c r="M113" s="10">
        <f t="shared" si="8"/>
        <v>1094.43</v>
      </c>
      <c r="N113" s="10">
        <f t="shared" si="9"/>
        <v>733.17000000000007</v>
      </c>
      <c r="O113" s="11">
        <f t="shared" si="10"/>
        <v>0.40116546290216676</v>
      </c>
      <c r="P113" t="str">
        <f t="shared" si="11"/>
        <v>January</v>
      </c>
      <c r="Q113" t="str">
        <f t="shared" si="12"/>
        <v>Q1</v>
      </c>
      <c r="R113" t="str">
        <f t="shared" si="13"/>
        <v>Low</v>
      </c>
    </row>
    <row r="114" spans="1:18" x14ac:dyDescent="0.3">
      <c r="A114" s="6" t="s">
        <v>232</v>
      </c>
      <c r="B114" s="7">
        <v>45955</v>
      </c>
      <c r="C114" s="6" t="s">
        <v>233</v>
      </c>
      <c r="D114" s="6" t="s">
        <v>55</v>
      </c>
      <c r="E114" s="6" t="s">
        <v>22</v>
      </c>
      <c r="F114" s="6" t="s">
        <v>82</v>
      </c>
      <c r="G114" s="6" t="s">
        <v>31</v>
      </c>
      <c r="H114" s="6">
        <v>17</v>
      </c>
      <c r="I114" s="8">
        <v>1101.93</v>
      </c>
      <c r="J114" s="8">
        <v>817.81</v>
      </c>
      <c r="K114" s="6" t="s">
        <v>41</v>
      </c>
      <c r="L114" s="9">
        <f t="shared" si="7"/>
        <v>18732.810000000001</v>
      </c>
      <c r="M114" s="10">
        <f t="shared" si="8"/>
        <v>13902.769999999999</v>
      </c>
      <c r="N114" s="10">
        <f t="shared" si="9"/>
        <v>4830.0400000000027</v>
      </c>
      <c r="O114" s="11">
        <f t="shared" si="10"/>
        <v>0.25783851968818361</v>
      </c>
      <c r="P114" t="str">
        <f t="shared" si="11"/>
        <v>October</v>
      </c>
      <c r="Q114" t="str">
        <f t="shared" si="12"/>
        <v>Q4</v>
      </c>
      <c r="R114" t="str">
        <f t="shared" si="13"/>
        <v>High</v>
      </c>
    </row>
    <row r="115" spans="1:18" x14ac:dyDescent="0.3">
      <c r="A115" s="6" t="s">
        <v>234</v>
      </c>
      <c r="B115" s="7">
        <v>45777</v>
      </c>
      <c r="C115" s="6" t="s">
        <v>235</v>
      </c>
      <c r="D115" s="6" t="s">
        <v>38</v>
      </c>
      <c r="E115" s="6" t="s">
        <v>46</v>
      </c>
      <c r="F115" s="6" t="s">
        <v>85</v>
      </c>
      <c r="G115" s="6" t="s">
        <v>65</v>
      </c>
      <c r="H115" s="6">
        <v>19</v>
      </c>
      <c r="I115" s="8">
        <v>1162.43</v>
      </c>
      <c r="J115" s="8">
        <v>809.97</v>
      </c>
      <c r="K115" s="6" t="s">
        <v>32</v>
      </c>
      <c r="L115" s="9">
        <f t="shared" si="7"/>
        <v>22086.170000000002</v>
      </c>
      <c r="M115" s="10">
        <f t="shared" si="8"/>
        <v>15389.43</v>
      </c>
      <c r="N115" s="10">
        <f t="shared" si="9"/>
        <v>6696.7400000000016</v>
      </c>
      <c r="O115" s="11">
        <f t="shared" si="10"/>
        <v>0.3032096556351781</v>
      </c>
      <c r="P115" t="str">
        <f t="shared" si="11"/>
        <v>April</v>
      </c>
      <c r="Q115" t="str">
        <f t="shared" si="12"/>
        <v>Q2</v>
      </c>
      <c r="R115" t="str">
        <f t="shared" si="13"/>
        <v>High</v>
      </c>
    </row>
    <row r="116" spans="1:18" x14ac:dyDescent="0.3">
      <c r="A116" s="6" t="s">
        <v>236</v>
      </c>
      <c r="B116" s="7">
        <v>46006</v>
      </c>
      <c r="C116" s="6" t="s">
        <v>112</v>
      </c>
      <c r="D116" s="6" t="s">
        <v>21</v>
      </c>
      <c r="E116" s="6" t="s">
        <v>46</v>
      </c>
      <c r="F116" s="6" t="s">
        <v>85</v>
      </c>
      <c r="G116" s="6" t="s">
        <v>40</v>
      </c>
      <c r="H116" s="6">
        <v>17</v>
      </c>
      <c r="I116" s="8">
        <v>772.97</v>
      </c>
      <c r="J116" s="8">
        <v>502.02</v>
      </c>
      <c r="K116" s="6" t="s">
        <v>41</v>
      </c>
      <c r="L116" s="9">
        <f t="shared" si="7"/>
        <v>13140.49</v>
      </c>
      <c r="M116" s="10">
        <f t="shared" si="8"/>
        <v>8534.34</v>
      </c>
      <c r="N116" s="10">
        <f t="shared" si="9"/>
        <v>4606.1499999999996</v>
      </c>
      <c r="O116" s="11">
        <f t="shared" si="10"/>
        <v>0.35053106847613746</v>
      </c>
      <c r="P116" t="str">
        <f t="shared" si="11"/>
        <v>December</v>
      </c>
      <c r="Q116" t="str">
        <f t="shared" si="12"/>
        <v>Q4</v>
      </c>
      <c r="R116" t="str">
        <f t="shared" si="13"/>
        <v>High</v>
      </c>
    </row>
    <row r="117" spans="1:18" x14ac:dyDescent="0.3">
      <c r="A117" s="6" t="s">
        <v>237</v>
      </c>
      <c r="B117" s="7">
        <v>45927</v>
      </c>
      <c r="C117" s="6" t="s">
        <v>231</v>
      </c>
      <c r="D117" s="6" t="s">
        <v>55</v>
      </c>
      <c r="E117" s="6" t="s">
        <v>22</v>
      </c>
      <c r="F117" s="6" t="s">
        <v>23</v>
      </c>
      <c r="G117" s="6" t="s">
        <v>65</v>
      </c>
      <c r="H117" s="6">
        <v>9</v>
      </c>
      <c r="I117" s="8">
        <v>1498.59</v>
      </c>
      <c r="J117" s="8">
        <v>1320.66</v>
      </c>
      <c r="K117" s="6" t="s">
        <v>25</v>
      </c>
      <c r="L117" s="9">
        <f t="shared" si="7"/>
        <v>13487.31</v>
      </c>
      <c r="M117" s="10">
        <f t="shared" si="8"/>
        <v>11885.94</v>
      </c>
      <c r="N117" s="10">
        <f t="shared" si="9"/>
        <v>1601.369999999999</v>
      </c>
      <c r="O117" s="11">
        <f t="shared" si="10"/>
        <v>0.11873160771124851</v>
      </c>
      <c r="P117" t="str">
        <f t="shared" si="11"/>
        <v>September</v>
      </c>
      <c r="Q117" t="str">
        <f t="shared" si="12"/>
        <v>Q3</v>
      </c>
      <c r="R117" t="str">
        <f t="shared" si="13"/>
        <v>High</v>
      </c>
    </row>
    <row r="118" spans="1:18" x14ac:dyDescent="0.3">
      <c r="A118" s="6" t="s">
        <v>238</v>
      </c>
      <c r="B118" s="7">
        <v>45984</v>
      </c>
      <c r="C118" s="6" t="s">
        <v>183</v>
      </c>
      <c r="D118" s="6" t="s">
        <v>28</v>
      </c>
      <c r="E118" s="6" t="s">
        <v>22</v>
      </c>
      <c r="F118" s="6" t="s">
        <v>56</v>
      </c>
      <c r="G118" s="6" t="s">
        <v>31</v>
      </c>
      <c r="H118" s="6">
        <v>13</v>
      </c>
      <c r="I118" s="8">
        <v>199.18</v>
      </c>
      <c r="J118" s="8">
        <v>132.41</v>
      </c>
      <c r="K118" s="6" t="s">
        <v>25</v>
      </c>
      <c r="L118" s="9">
        <f t="shared" si="7"/>
        <v>2589.34</v>
      </c>
      <c r="M118" s="10">
        <f t="shared" si="8"/>
        <v>1721.33</v>
      </c>
      <c r="N118" s="10">
        <f t="shared" si="9"/>
        <v>868.01000000000022</v>
      </c>
      <c r="O118" s="11">
        <f t="shared" si="10"/>
        <v>0.33522442012250231</v>
      </c>
      <c r="P118" t="str">
        <f t="shared" si="11"/>
        <v>November</v>
      </c>
      <c r="Q118" t="str">
        <f t="shared" si="12"/>
        <v>Q4</v>
      </c>
      <c r="R118" t="str">
        <f t="shared" si="13"/>
        <v>Low</v>
      </c>
    </row>
    <row r="119" spans="1:18" x14ac:dyDescent="0.3">
      <c r="A119" s="6" t="s">
        <v>239</v>
      </c>
      <c r="B119" s="7">
        <v>45877</v>
      </c>
      <c r="C119" s="6" t="s">
        <v>240</v>
      </c>
      <c r="D119" s="6" t="s">
        <v>28</v>
      </c>
      <c r="E119" s="6" t="s">
        <v>46</v>
      </c>
      <c r="F119" s="6" t="s">
        <v>85</v>
      </c>
      <c r="G119" s="6" t="s">
        <v>60</v>
      </c>
      <c r="H119" s="6">
        <v>12</v>
      </c>
      <c r="I119" s="8">
        <v>745.43</v>
      </c>
      <c r="J119" s="8">
        <v>569.21</v>
      </c>
      <c r="K119" s="6" t="s">
        <v>41</v>
      </c>
      <c r="L119" s="9">
        <f t="shared" si="7"/>
        <v>8945.16</v>
      </c>
      <c r="M119" s="10">
        <f t="shared" si="8"/>
        <v>6830.52</v>
      </c>
      <c r="N119" s="10">
        <f t="shared" si="9"/>
        <v>2114.6399999999994</v>
      </c>
      <c r="O119" s="11">
        <f t="shared" si="10"/>
        <v>0.23640046684463994</v>
      </c>
      <c r="P119" t="str">
        <f t="shared" si="11"/>
        <v>August</v>
      </c>
      <c r="Q119" t="str">
        <f t="shared" si="12"/>
        <v>Q3</v>
      </c>
      <c r="R119" t="str">
        <f t="shared" si="13"/>
        <v>Low</v>
      </c>
    </row>
    <row r="120" spans="1:18" x14ac:dyDescent="0.3">
      <c r="A120" s="6" t="s">
        <v>241</v>
      </c>
      <c r="B120" s="7">
        <v>46007</v>
      </c>
      <c r="C120" s="6" t="s">
        <v>242</v>
      </c>
      <c r="D120" s="6" t="s">
        <v>21</v>
      </c>
      <c r="E120" s="6" t="s">
        <v>46</v>
      </c>
      <c r="F120" s="6" t="s">
        <v>85</v>
      </c>
      <c r="G120" s="6" t="s">
        <v>65</v>
      </c>
      <c r="H120" s="6">
        <v>19</v>
      </c>
      <c r="I120" s="8">
        <v>1358.93</v>
      </c>
      <c r="J120" s="8">
        <v>720.81</v>
      </c>
      <c r="K120" s="6" t="s">
        <v>32</v>
      </c>
      <c r="L120" s="9">
        <f t="shared" si="7"/>
        <v>25819.670000000002</v>
      </c>
      <c r="M120" s="10">
        <f t="shared" si="8"/>
        <v>13695.39</v>
      </c>
      <c r="N120" s="10">
        <f t="shared" si="9"/>
        <v>12124.280000000002</v>
      </c>
      <c r="O120" s="11">
        <f t="shared" si="10"/>
        <v>0.46957532764748744</v>
      </c>
      <c r="P120" t="str">
        <f t="shared" si="11"/>
        <v>December</v>
      </c>
      <c r="Q120" t="str">
        <f t="shared" si="12"/>
        <v>Q4</v>
      </c>
      <c r="R120" t="str">
        <f t="shared" si="13"/>
        <v>High</v>
      </c>
    </row>
    <row r="121" spans="1:18" x14ac:dyDescent="0.3">
      <c r="A121" s="6" t="s">
        <v>243</v>
      </c>
      <c r="B121" s="7">
        <v>45930</v>
      </c>
      <c r="C121" s="6" t="s">
        <v>244</v>
      </c>
      <c r="D121" s="6" t="s">
        <v>38</v>
      </c>
      <c r="E121" s="6" t="s">
        <v>22</v>
      </c>
      <c r="F121" s="6" t="s">
        <v>56</v>
      </c>
      <c r="G121" s="6" t="s">
        <v>24</v>
      </c>
      <c r="H121" s="6">
        <v>16</v>
      </c>
      <c r="I121" s="8">
        <v>265.5</v>
      </c>
      <c r="J121" s="8">
        <v>183.36</v>
      </c>
      <c r="K121" s="6" t="s">
        <v>41</v>
      </c>
      <c r="L121" s="9">
        <f t="shared" si="7"/>
        <v>4248</v>
      </c>
      <c r="M121" s="10">
        <f t="shared" si="8"/>
        <v>2933.76</v>
      </c>
      <c r="N121" s="10">
        <f t="shared" si="9"/>
        <v>1314.2399999999998</v>
      </c>
      <c r="O121" s="11">
        <f t="shared" si="10"/>
        <v>0.30937853107344626</v>
      </c>
      <c r="P121" t="str">
        <f t="shared" si="11"/>
        <v>September</v>
      </c>
      <c r="Q121" t="str">
        <f t="shared" si="12"/>
        <v>Q3</v>
      </c>
      <c r="R121" t="str">
        <f t="shared" si="13"/>
        <v>Low</v>
      </c>
    </row>
    <row r="122" spans="1:18" x14ac:dyDescent="0.3">
      <c r="A122" s="6" t="s">
        <v>245</v>
      </c>
      <c r="B122" s="7">
        <v>45832</v>
      </c>
      <c r="C122" s="6" t="s">
        <v>87</v>
      </c>
      <c r="D122" s="6" t="s">
        <v>21</v>
      </c>
      <c r="E122" s="6" t="s">
        <v>22</v>
      </c>
      <c r="F122" s="6" t="s">
        <v>23</v>
      </c>
      <c r="G122" s="6" t="s">
        <v>40</v>
      </c>
      <c r="H122" s="6">
        <v>17</v>
      </c>
      <c r="I122" s="8">
        <v>361.17</v>
      </c>
      <c r="J122" s="8">
        <v>270.47000000000003</v>
      </c>
      <c r="K122" s="6" t="s">
        <v>32</v>
      </c>
      <c r="L122" s="9">
        <f t="shared" si="7"/>
        <v>6139.89</v>
      </c>
      <c r="M122" s="10">
        <f t="shared" si="8"/>
        <v>4597.9900000000007</v>
      </c>
      <c r="N122" s="10">
        <f t="shared" si="9"/>
        <v>1541.8999999999996</v>
      </c>
      <c r="O122" s="11">
        <f t="shared" si="10"/>
        <v>0.25112827754243144</v>
      </c>
      <c r="P122" t="str">
        <f t="shared" si="11"/>
        <v>June</v>
      </c>
      <c r="Q122" t="str">
        <f t="shared" si="12"/>
        <v>Q2</v>
      </c>
      <c r="R122" t="str">
        <f t="shared" si="13"/>
        <v>Low</v>
      </c>
    </row>
    <row r="123" spans="1:18" x14ac:dyDescent="0.3">
      <c r="A123" s="6" t="s">
        <v>246</v>
      </c>
      <c r="B123" s="7">
        <v>45720</v>
      </c>
      <c r="C123" s="6" t="s">
        <v>136</v>
      </c>
      <c r="D123" s="6" t="s">
        <v>28</v>
      </c>
      <c r="E123" s="6" t="s">
        <v>22</v>
      </c>
      <c r="F123" s="6" t="s">
        <v>23</v>
      </c>
      <c r="G123" s="6" t="s">
        <v>24</v>
      </c>
      <c r="H123" s="6">
        <v>5</v>
      </c>
      <c r="I123" s="8">
        <v>115.05</v>
      </c>
      <c r="J123" s="8">
        <v>85.95</v>
      </c>
      <c r="K123" s="6" t="s">
        <v>32</v>
      </c>
      <c r="L123" s="9">
        <f t="shared" si="7"/>
        <v>575.25</v>
      </c>
      <c r="M123" s="10">
        <f t="shared" si="8"/>
        <v>429.75</v>
      </c>
      <c r="N123" s="10">
        <f t="shared" si="9"/>
        <v>145.5</v>
      </c>
      <c r="O123" s="11">
        <f t="shared" si="10"/>
        <v>0.25293350717079532</v>
      </c>
      <c r="P123" t="str">
        <f t="shared" si="11"/>
        <v>March</v>
      </c>
      <c r="Q123" t="str">
        <f t="shared" si="12"/>
        <v>Q1</v>
      </c>
      <c r="R123" t="str">
        <f t="shared" si="13"/>
        <v>Low</v>
      </c>
    </row>
    <row r="124" spans="1:18" x14ac:dyDescent="0.3">
      <c r="A124" s="6" t="s">
        <v>247</v>
      </c>
      <c r="B124" s="7">
        <v>45834</v>
      </c>
      <c r="C124" s="6" t="s">
        <v>170</v>
      </c>
      <c r="D124" s="6" t="s">
        <v>28</v>
      </c>
      <c r="E124" s="6" t="s">
        <v>29</v>
      </c>
      <c r="F124" s="6" t="s">
        <v>30</v>
      </c>
      <c r="G124" s="6" t="s">
        <v>24</v>
      </c>
      <c r="H124" s="6">
        <v>4</v>
      </c>
      <c r="I124" s="8">
        <v>1213.4100000000001</v>
      </c>
      <c r="J124" s="8">
        <v>947.73</v>
      </c>
      <c r="K124" s="6" t="s">
        <v>41</v>
      </c>
      <c r="L124" s="9">
        <f t="shared" si="7"/>
        <v>4853.6400000000003</v>
      </c>
      <c r="M124" s="10">
        <f t="shared" si="8"/>
        <v>3790.92</v>
      </c>
      <c r="N124" s="10">
        <f t="shared" si="9"/>
        <v>1062.7200000000003</v>
      </c>
      <c r="O124" s="11">
        <f t="shared" si="10"/>
        <v>0.21895319801221355</v>
      </c>
      <c r="P124" t="str">
        <f t="shared" si="11"/>
        <v>June</v>
      </c>
      <c r="Q124" t="str">
        <f t="shared" si="12"/>
        <v>Q2</v>
      </c>
      <c r="R124" t="str">
        <f t="shared" si="13"/>
        <v>Low</v>
      </c>
    </row>
    <row r="125" spans="1:18" x14ac:dyDescent="0.3">
      <c r="A125" s="6" t="s">
        <v>248</v>
      </c>
      <c r="B125" s="7">
        <v>45910</v>
      </c>
      <c r="C125" s="6" t="s">
        <v>249</v>
      </c>
      <c r="D125" s="6" t="s">
        <v>38</v>
      </c>
      <c r="E125" s="6" t="s">
        <v>46</v>
      </c>
      <c r="F125" s="6" t="s">
        <v>80</v>
      </c>
      <c r="G125" s="6" t="s">
        <v>57</v>
      </c>
      <c r="H125" s="6">
        <v>11</v>
      </c>
      <c r="I125" s="8">
        <v>825.66</v>
      </c>
      <c r="J125" s="8">
        <v>702.61</v>
      </c>
      <c r="K125" s="6" t="s">
        <v>32</v>
      </c>
      <c r="L125" s="9">
        <f t="shared" si="7"/>
        <v>9082.26</v>
      </c>
      <c r="M125" s="10">
        <f t="shared" si="8"/>
        <v>7728.71</v>
      </c>
      <c r="N125" s="10">
        <f t="shared" si="9"/>
        <v>1353.5500000000002</v>
      </c>
      <c r="O125" s="11">
        <f t="shared" si="10"/>
        <v>0.14903228932005913</v>
      </c>
      <c r="P125" t="str">
        <f t="shared" si="11"/>
        <v>September</v>
      </c>
      <c r="Q125" t="str">
        <f t="shared" si="12"/>
        <v>Q3</v>
      </c>
      <c r="R125" t="str">
        <f t="shared" si="13"/>
        <v>Low</v>
      </c>
    </row>
    <row r="126" spans="1:18" x14ac:dyDescent="0.3">
      <c r="A126" s="6" t="s">
        <v>250</v>
      </c>
      <c r="B126" s="7">
        <v>45688</v>
      </c>
      <c r="C126" s="6" t="s">
        <v>251</v>
      </c>
      <c r="D126" s="6" t="s">
        <v>38</v>
      </c>
      <c r="E126" s="6" t="s">
        <v>29</v>
      </c>
      <c r="F126" s="6" t="s">
        <v>30</v>
      </c>
      <c r="G126" s="6" t="s">
        <v>40</v>
      </c>
      <c r="H126" s="6">
        <v>13</v>
      </c>
      <c r="I126" s="8">
        <v>38.43</v>
      </c>
      <c r="J126" s="8">
        <v>23.37</v>
      </c>
      <c r="K126" s="6" t="s">
        <v>41</v>
      </c>
      <c r="L126" s="9">
        <f t="shared" si="7"/>
        <v>499.59</v>
      </c>
      <c r="M126" s="10">
        <f t="shared" si="8"/>
        <v>303.81</v>
      </c>
      <c r="N126" s="10">
        <f t="shared" si="9"/>
        <v>195.77999999999997</v>
      </c>
      <c r="O126" s="11">
        <f t="shared" si="10"/>
        <v>0.39188134270101482</v>
      </c>
      <c r="P126" t="str">
        <f t="shared" si="11"/>
        <v>January</v>
      </c>
      <c r="Q126" t="str">
        <f t="shared" si="12"/>
        <v>Q1</v>
      </c>
      <c r="R126" t="str">
        <f t="shared" si="13"/>
        <v>Low</v>
      </c>
    </row>
    <row r="127" spans="1:18" x14ac:dyDescent="0.3">
      <c r="A127" s="6" t="s">
        <v>252</v>
      </c>
      <c r="B127" s="7">
        <v>45943</v>
      </c>
      <c r="C127" s="6" t="s">
        <v>253</v>
      </c>
      <c r="D127" s="6" t="s">
        <v>21</v>
      </c>
      <c r="E127" s="6" t="s">
        <v>46</v>
      </c>
      <c r="F127" s="6" t="s">
        <v>73</v>
      </c>
      <c r="G127" s="6" t="s">
        <v>57</v>
      </c>
      <c r="H127" s="6">
        <v>15</v>
      </c>
      <c r="I127" s="8">
        <v>30.39</v>
      </c>
      <c r="J127" s="8">
        <v>20.41</v>
      </c>
      <c r="K127" s="6" t="s">
        <v>25</v>
      </c>
      <c r="L127" s="9">
        <f t="shared" si="7"/>
        <v>455.85</v>
      </c>
      <c r="M127" s="10">
        <f t="shared" si="8"/>
        <v>306.14999999999998</v>
      </c>
      <c r="N127" s="10">
        <f t="shared" si="9"/>
        <v>149.70000000000005</v>
      </c>
      <c r="O127" s="11">
        <f t="shared" si="10"/>
        <v>0.32839749917736105</v>
      </c>
      <c r="P127" t="str">
        <f t="shared" si="11"/>
        <v>October</v>
      </c>
      <c r="Q127" t="str">
        <f t="shared" si="12"/>
        <v>Q4</v>
      </c>
      <c r="R127" t="str">
        <f t="shared" si="13"/>
        <v>Low</v>
      </c>
    </row>
    <row r="128" spans="1:18" x14ac:dyDescent="0.3">
      <c r="A128" s="6" t="s">
        <v>254</v>
      </c>
      <c r="B128" s="7">
        <v>45933</v>
      </c>
      <c r="C128" s="6" t="s">
        <v>179</v>
      </c>
      <c r="D128" s="6" t="s">
        <v>38</v>
      </c>
      <c r="E128" s="6" t="s">
        <v>22</v>
      </c>
      <c r="F128" s="6" t="s">
        <v>82</v>
      </c>
      <c r="G128" s="6" t="s">
        <v>40</v>
      </c>
      <c r="H128" s="6">
        <v>5</v>
      </c>
      <c r="I128" s="8">
        <v>666.84</v>
      </c>
      <c r="J128" s="8">
        <v>388.55</v>
      </c>
      <c r="K128" s="6" t="s">
        <v>25</v>
      </c>
      <c r="L128" s="9">
        <f t="shared" si="7"/>
        <v>3334.2000000000003</v>
      </c>
      <c r="M128" s="10">
        <f t="shared" si="8"/>
        <v>1942.75</v>
      </c>
      <c r="N128" s="10">
        <f t="shared" si="9"/>
        <v>1391.4500000000003</v>
      </c>
      <c r="O128" s="11">
        <f t="shared" si="10"/>
        <v>0.41732649511127112</v>
      </c>
      <c r="P128" t="str">
        <f t="shared" si="11"/>
        <v>October</v>
      </c>
      <c r="Q128" t="str">
        <f t="shared" si="12"/>
        <v>Q4</v>
      </c>
      <c r="R128" t="str">
        <f t="shared" si="13"/>
        <v>Low</v>
      </c>
    </row>
    <row r="129" spans="1:18" x14ac:dyDescent="0.3">
      <c r="A129" s="6" t="s">
        <v>255</v>
      </c>
      <c r="B129" s="7">
        <v>46009</v>
      </c>
      <c r="C129" s="6" t="s">
        <v>98</v>
      </c>
      <c r="D129" s="6" t="s">
        <v>55</v>
      </c>
      <c r="E129" s="6" t="s">
        <v>22</v>
      </c>
      <c r="F129" s="6" t="s">
        <v>56</v>
      </c>
      <c r="G129" s="6" t="s">
        <v>65</v>
      </c>
      <c r="H129" s="6">
        <v>16</v>
      </c>
      <c r="I129" s="8">
        <v>161.1</v>
      </c>
      <c r="J129" s="8">
        <v>97.82</v>
      </c>
      <c r="K129" s="6" t="s">
        <v>25</v>
      </c>
      <c r="L129" s="9">
        <f t="shared" si="7"/>
        <v>2577.6</v>
      </c>
      <c r="M129" s="10">
        <f t="shared" si="8"/>
        <v>1565.12</v>
      </c>
      <c r="N129" s="10">
        <f t="shared" si="9"/>
        <v>1012.48</v>
      </c>
      <c r="O129" s="11">
        <f t="shared" si="10"/>
        <v>0.39279950341402858</v>
      </c>
      <c r="P129" t="str">
        <f t="shared" si="11"/>
        <v>December</v>
      </c>
      <c r="Q129" t="str">
        <f t="shared" si="12"/>
        <v>Q4</v>
      </c>
      <c r="R129" t="str">
        <f t="shared" si="13"/>
        <v>Low</v>
      </c>
    </row>
    <row r="130" spans="1:18" x14ac:dyDescent="0.3">
      <c r="A130" s="6" t="s">
        <v>256</v>
      </c>
      <c r="B130" s="7">
        <v>45947</v>
      </c>
      <c r="C130" s="6" t="s">
        <v>257</v>
      </c>
      <c r="D130" s="6" t="s">
        <v>38</v>
      </c>
      <c r="E130" s="6" t="s">
        <v>29</v>
      </c>
      <c r="F130" s="6" t="s">
        <v>30</v>
      </c>
      <c r="G130" s="6" t="s">
        <v>40</v>
      </c>
      <c r="H130" s="6">
        <v>8</v>
      </c>
      <c r="I130" s="8">
        <v>236.16</v>
      </c>
      <c r="J130" s="8">
        <v>186.12</v>
      </c>
      <c r="K130" s="6" t="s">
        <v>25</v>
      </c>
      <c r="L130" s="9">
        <f t="shared" si="7"/>
        <v>1889.28</v>
      </c>
      <c r="M130" s="10">
        <f t="shared" si="8"/>
        <v>1488.96</v>
      </c>
      <c r="N130" s="10">
        <f t="shared" si="9"/>
        <v>400.31999999999994</v>
      </c>
      <c r="O130" s="11">
        <f t="shared" si="10"/>
        <v>0.21189024390243899</v>
      </c>
      <c r="P130" t="str">
        <f t="shared" si="11"/>
        <v>October</v>
      </c>
      <c r="Q130" t="str">
        <f t="shared" si="12"/>
        <v>Q4</v>
      </c>
      <c r="R130" t="str">
        <f t="shared" si="13"/>
        <v>Low</v>
      </c>
    </row>
    <row r="131" spans="1:18" x14ac:dyDescent="0.3">
      <c r="A131" s="6" t="s">
        <v>258</v>
      </c>
      <c r="B131" s="7">
        <v>45967</v>
      </c>
      <c r="C131" s="6" t="s">
        <v>259</v>
      </c>
      <c r="D131" s="6" t="s">
        <v>55</v>
      </c>
      <c r="E131" s="6" t="s">
        <v>46</v>
      </c>
      <c r="F131" s="6" t="s">
        <v>73</v>
      </c>
      <c r="G131" s="6" t="s">
        <v>57</v>
      </c>
      <c r="H131" s="6">
        <v>18</v>
      </c>
      <c r="I131" s="8">
        <v>1361.43</v>
      </c>
      <c r="J131" s="8">
        <v>840.59</v>
      </c>
      <c r="K131" s="6" t="s">
        <v>41</v>
      </c>
      <c r="L131" s="9">
        <f t="shared" si="7"/>
        <v>24505.74</v>
      </c>
      <c r="M131" s="10">
        <f t="shared" si="8"/>
        <v>15130.62</v>
      </c>
      <c r="N131" s="10">
        <f t="shared" si="9"/>
        <v>9375.1200000000008</v>
      </c>
      <c r="O131" s="11">
        <f t="shared" si="10"/>
        <v>0.38256832888947651</v>
      </c>
      <c r="P131" t="str">
        <f t="shared" si="11"/>
        <v>November</v>
      </c>
      <c r="Q131" t="str">
        <f t="shared" si="12"/>
        <v>Q4</v>
      </c>
      <c r="R131" t="str">
        <f t="shared" si="13"/>
        <v>High</v>
      </c>
    </row>
    <row r="132" spans="1:18" x14ac:dyDescent="0.3">
      <c r="A132" s="6" t="s">
        <v>260</v>
      </c>
      <c r="B132" s="7">
        <v>45680</v>
      </c>
      <c r="C132" s="6" t="s">
        <v>261</v>
      </c>
      <c r="D132" s="6" t="s">
        <v>55</v>
      </c>
      <c r="E132" s="6" t="s">
        <v>29</v>
      </c>
      <c r="F132" s="6" t="s">
        <v>30</v>
      </c>
      <c r="G132" s="6" t="s">
        <v>60</v>
      </c>
      <c r="H132" s="6">
        <v>12</v>
      </c>
      <c r="I132" s="8">
        <v>509.07</v>
      </c>
      <c r="J132" s="8">
        <v>338.28</v>
      </c>
      <c r="K132" s="6" t="s">
        <v>25</v>
      </c>
      <c r="L132" s="9">
        <f t="shared" si="7"/>
        <v>6108.84</v>
      </c>
      <c r="M132" s="10">
        <f t="shared" si="8"/>
        <v>4059.3599999999997</v>
      </c>
      <c r="N132" s="10">
        <f t="shared" si="9"/>
        <v>2049.4800000000005</v>
      </c>
      <c r="O132" s="11">
        <f t="shared" si="10"/>
        <v>0.33549413636631509</v>
      </c>
      <c r="P132" t="str">
        <f t="shared" si="11"/>
        <v>January</v>
      </c>
      <c r="Q132" t="str">
        <f t="shared" si="12"/>
        <v>Q1</v>
      </c>
      <c r="R132" t="str">
        <f t="shared" si="13"/>
        <v>Low</v>
      </c>
    </row>
    <row r="133" spans="1:18" x14ac:dyDescent="0.3">
      <c r="A133" s="6" t="s">
        <v>262</v>
      </c>
      <c r="B133" s="7">
        <v>45810</v>
      </c>
      <c r="C133" s="6" t="s">
        <v>168</v>
      </c>
      <c r="D133" s="6" t="s">
        <v>28</v>
      </c>
      <c r="E133" s="6" t="s">
        <v>22</v>
      </c>
      <c r="F133" s="6" t="s">
        <v>82</v>
      </c>
      <c r="G133" s="6" t="s">
        <v>40</v>
      </c>
      <c r="H133" s="6">
        <v>11</v>
      </c>
      <c r="I133" s="8">
        <v>257.87</v>
      </c>
      <c r="J133" s="8">
        <v>165.32</v>
      </c>
      <c r="K133" s="6" t="s">
        <v>25</v>
      </c>
      <c r="L133" s="9">
        <f t="shared" si="7"/>
        <v>2836.57</v>
      </c>
      <c r="M133" s="10">
        <f t="shared" si="8"/>
        <v>1818.52</v>
      </c>
      <c r="N133" s="10">
        <f t="shared" si="9"/>
        <v>1018.0500000000002</v>
      </c>
      <c r="O133" s="11">
        <f t="shared" si="10"/>
        <v>0.35890177221080394</v>
      </c>
      <c r="P133" t="str">
        <f t="shared" si="11"/>
        <v>June</v>
      </c>
      <c r="Q133" t="str">
        <f t="shared" si="12"/>
        <v>Q2</v>
      </c>
      <c r="R133" t="str">
        <f t="shared" si="13"/>
        <v>Low</v>
      </c>
    </row>
    <row r="134" spans="1:18" x14ac:dyDescent="0.3">
      <c r="A134" s="6" t="s">
        <v>263</v>
      </c>
      <c r="B134" s="7">
        <v>45665</v>
      </c>
      <c r="C134" s="6" t="s">
        <v>264</v>
      </c>
      <c r="D134" s="6" t="s">
        <v>38</v>
      </c>
      <c r="E134" s="6" t="s">
        <v>29</v>
      </c>
      <c r="F134" s="6" t="s">
        <v>35</v>
      </c>
      <c r="G134" s="6" t="s">
        <v>60</v>
      </c>
      <c r="H134" s="6">
        <v>9</v>
      </c>
      <c r="I134" s="8">
        <v>685.31</v>
      </c>
      <c r="J134" s="8">
        <v>491.93</v>
      </c>
      <c r="K134" s="6" t="s">
        <v>25</v>
      </c>
      <c r="L134" s="9">
        <f t="shared" si="7"/>
        <v>6167.7899999999991</v>
      </c>
      <c r="M134" s="10">
        <f t="shared" si="8"/>
        <v>4427.37</v>
      </c>
      <c r="N134" s="10">
        <f t="shared" si="9"/>
        <v>1740.4199999999992</v>
      </c>
      <c r="O134" s="11">
        <f t="shared" si="10"/>
        <v>0.28217886795756658</v>
      </c>
      <c r="P134" t="str">
        <f t="shared" si="11"/>
        <v>January</v>
      </c>
      <c r="Q134" t="str">
        <f t="shared" si="12"/>
        <v>Q1</v>
      </c>
      <c r="R134" t="str">
        <f t="shared" si="13"/>
        <v>Low</v>
      </c>
    </row>
    <row r="135" spans="1:18" x14ac:dyDescent="0.3">
      <c r="A135" s="6" t="s">
        <v>265</v>
      </c>
      <c r="B135" s="7">
        <v>45822</v>
      </c>
      <c r="C135" s="6" t="s">
        <v>266</v>
      </c>
      <c r="D135" s="6" t="s">
        <v>28</v>
      </c>
      <c r="E135" s="6" t="s">
        <v>29</v>
      </c>
      <c r="F135" s="6" t="s">
        <v>35</v>
      </c>
      <c r="G135" s="6" t="s">
        <v>57</v>
      </c>
      <c r="H135" s="6">
        <v>11</v>
      </c>
      <c r="I135" s="8">
        <v>569.23</v>
      </c>
      <c r="J135" s="8">
        <v>407.67</v>
      </c>
      <c r="K135" s="6" t="s">
        <v>25</v>
      </c>
      <c r="L135" s="9">
        <f t="shared" ref="L135:L198" si="14">H135*I135</f>
        <v>6261.5300000000007</v>
      </c>
      <c r="M135" s="10">
        <f t="shared" ref="M135:M198" si="15">H135*J135</f>
        <v>4484.37</v>
      </c>
      <c r="N135" s="10">
        <f t="shared" ref="N135:N198" si="16">L135-M135</f>
        <v>1777.1600000000008</v>
      </c>
      <c r="O135" s="11">
        <f t="shared" ref="O135:O198" si="17">N135/L135</f>
        <v>0.28382200516487194</v>
      </c>
      <c r="P135" t="str">
        <f t="shared" ref="P135:P198" si="18">TEXT(B135,"mmmm")</f>
        <v>June</v>
      </c>
      <c r="Q135" t="str">
        <f t="shared" ref="Q135:Q198" si="19">"Q"&amp;ROUNDUP(MONTH(B135)/3,0)</f>
        <v>Q2</v>
      </c>
      <c r="R135" t="str">
        <f t="shared" ref="R135:R198" si="20">IF(L135&gt;=10000,"High","Low")</f>
        <v>Low</v>
      </c>
    </row>
    <row r="136" spans="1:18" x14ac:dyDescent="0.3">
      <c r="A136" s="6" t="s">
        <v>267</v>
      </c>
      <c r="B136" s="7">
        <v>46013</v>
      </c>
      <c r="C136" s="6" t="s">
        <v>268</v>
      </c>
      <c r="D136" s="6" t="s">
        <v>38</v>
      </c>
      <c r="E136" s="6" t="s">
        <v>22</v>
      </c>
      <c r="F136" s="6" t="s">
        <v>82</v>
      </c>
      <c r="G136" s="6" t="s">
        <v>65</v>
      </c>
      <c r="H136" s="6">
        <v>5</v>
      </c>
      <c r="I136" s="8">
        <v>1310.68</v>
      </c>
      <c r="J136" s="8">
        <v>778.15</v>
      </c>
      <c r="K136" s="6" t="s">
        <v>32</v>
      </c>
      <c r="L136" s="9">
        <f t="shared" si="14"/>
        <v>6553.4000000000005</v>
      </c>
      <c r="M136" s="10">
        <f t="shared" si="15"/>
        <v>3890.75</v>
      </c>
      <c r="N136" s="10">
        <f t="shared" si="16"/>
        <v>2662.6500000000005</v>
      </c>
      <c r="O136" s="11">
        <f t="shared" si="17"/>
        <v>0.40630054628131967</v>
      </c>
      <c r="P136" t="str">
        <f t="shared" si="18"/>
        <v>December</v>
      </c>
      <c r="Q136" t="str">
        <f t="shared" si="19"/>
        <v>Q4</v>
      </c>
      <c r="R136" t="str">
        <f t="shared" si="20"/>
        <v>Low</v>
      </c>
    </row>
    <row r="137" spans="1:18" x14ac:dyDescent="0.3">
      <c r="A137" s="6" t="s">
        <v>269</v>
      </c>
      <c r="B137" s="7">
        <v>45729</v>
      </c>
      <c r="C137" s="6" t="s">
        <v>270</v>
      </c>
      <c r="D137" s="6" t="s">
        <v>55</v>
      </c>
      <c r="E137" s="6" t="s">
        <v>22</v>
      </c>
      <c r="F137" s="6" t="s">
        <v>23</v>
      </c>
      <c r="G137" s="6" t="s">
        <v>40</v>
      </c>
      <c r="H137" s="6">
        <v>19</v>
      </c>
      <c r="I137" s="8">
        <v>25.84</v>
      </c>
      <c r="J137" s="8">
        <v>20.260000000000002</v>
      </c>
      <c r="K137" s="6" t="s">
        <v>25</v>
      </c>
      <c r="L137" s="9">
        <f t="shared" si="14"/>
        <v>490.96</v>
      </c>
      <c r="M137" s="10">
        <f t="shared" si="15"/>
        <v>384.94000000000005</v>
      </c>
      <c r="N137" s="10">
        <f t="shared" si="16"/>
        <v>106.01999999999992</v>
      </c>
      <c r="O137" s="11">
        <f t="shared" si="17"/>
        <v>0.21594427244582029</v>
      </c>
      <c r="P137" t="str">
        <f t="shared" si="18"/>
        <v>March</v>
      </c>
      <c r="Q137" t="str">
        <f t="shared" si="19"/>
        <v>Q1</v>
      </c>
      <c r="R137" t="str">
        <f t="shared" si="20"/>
        <v>Low</v>
      </c>
    </row>
    <row r="138" spans="1:18" x14ac:dyDescent="0.3">
      <c r="A138" s="6" t="s">
        <v>271</v>
      </c>
      <c r="B138" s="7">
        <v>45672</v>
      </c>
      <c r="C138" s="6" t="s">
        <v>272</v>
      </c>
      <c r="D138" s="6" t="s">
        <v>28</v>
      </c>
      <c r="E138" s="6" t="s">
        <v>22</v>
      </c>
      <c r="F138" s="6" t="s">
        <v>23</v>
      </c>
      <c r="G138" s="6" t="s">
        <v>24</v>
      </c>
      <c r="H138" s="6">
        <v>6</v>
      </c>
      <c r="I138" s="8">
        <v>1011.66</v>
      </c>
      <c r="J138" s="8">
        <v>756.25</v>
      </c>
      <c r="K138" s="6" t="s">
        <v>25</v>
      </c>
      <c r="L138" s="9">
        <f t="shared" si="14"/>
        <v>6069.96</v>
      </c>
      <c r="M138" s="10">
        <f t="shared" si="15"/>
        <v>4537.5</v>
      </c>
      <c r="N138" s="10">
        <f t="shared" si="16"/>
        <v>1532.46</v>
      </c>
      <c r="O138" s="11">
        <f t="shared" si="17"/>
        <v>0.25246624359962833</v>
      </c>
      <c r="P138" t="str">
        <f t="shared" si="18"/>
        <v>January</v>
      </c>
      <c r="Q138" t="str">
        <f t="shared" si="19"/>
        <v>Q1</v>
      </c>
      <c r="R138" t="str">
        <f t="shared" si="20"/>
        <v>Low</v>
      </c>
    </row>
    <row r="139" spans="1:18" x14ac:dyDescent="0.3">
      <c r="A139" s="6" t="s">
        <v>273</v>
      </c>
      <c r="B139" s="7">
        <v>45708</v>
      </c>
      <c r="C139" s="6" t="s">
        <v>274</v>
      </c>
      <c r="D139" s="6" t="s">
        <v>55</v>
      </c>
      <c r="E139" s="6" t="s">
        <v>29</v>
      </c>
      <c r="F139" s="6" t="s">
        <v>35</v>
      </c>
      <c r="G139" s="6" t="s">
        <v>60</v>
      </c>
      <c r="H139" s="6">
        <v>4</v>
      </c>
      <c r="I139" s="8">
        <v>892.7</v>
      </c>
      <c r="J139" s="8">
        <v>513.21</v>
      </c>
      <c r="K139" s="6" t="s">
        <v>41</v>
      </c>
      <c r="L139" s="9">
        <f t="shared" si="14"/>
        <v>3570.8</v>
      </c>
      <c r="M139" s="10">
        <f t="shared" si="15"/>
        <v>2052.84</v>
      </c>
      <c r="N139" s="10">
        <f t="shared" si="16"/>
        <v>1517.96</v>
      </c>
      <c r="O139" s="11">
        <f t="shared" si="17"/>
        <v>0.42510361823680964</v>
      </c>
      <c r="P139" t="str">
        <f t="shared" si="18"/>
        <v>February</v>
      </c>
      <c r="Q139" t="str">
        <f t="shared" si="19"/>
        <v>Q1</v>
      </c>
      <c r="R139" t="str">
        <f t="shared" si="20"/>
        <v>Low</v>
      </c>
    </row>
    <row r="140" spans="1:18" x14ac:dyDescent="0.3">
      <c r="A140" s="6" t="s">
        <v>275</v>
      </c>
      <c r="B140" s="7">
        <v>45954</v>
      </c>
      <c r="C140" s="6" t="s">
        <v>208</v>
      </c>
      <c r="D140" s="6" t="s">
        <v>21</v>
      </c>
      <c r="E140" s="6" t="s">
        <v>22</v>
      </c>
      <c r="F140" s="6" t="s">
        <v>82</v>
      </c>
      <c r="G140" s="6" t="s">
        <v>31</v>
      </c>
      <c r="H140" s="6">
        <v>6</v>
      </c>
      <c r="I140" s="8">
        <v>1442.28</v>
      </c>
      <c r="J140" s="8">
        <v>1116.22</v>
      </c>
      <c r="K140" s="6" t="s">
        <v>25</v>
      </c>
      <c r="L140" s="9">
        <f t="shared" si="14"/>
        <v>8653.68</v>
      </c>
      <c r="M140" s="10">
        <f t="shared" si="15"/>
        <v>6697.32</v>
      </c>
      <c r="N140" s="10">
        <f t="shared" si="16"/>
        <v>1956.3600000000006</v>
      </c>
      <c r="O140" s="11">
        <f t="shared" si="17"/>
        <v>0.22607260726072614</v>
      </c>
      <c r="P140" t="str">
        <f t="shared" si="18"/>
        <v>October</v>
      </c>
      <c r="Q140" t="str">
        <f t="shared" si="19"/>
        <v>Q4</v>
      </c>
      <c r="R140" t="str">
        <f t="shared" si="20"/>
        <v>Low</v>
      </c>
    </row>
    <row r="141" spans="1:18" x14ac:dyDescent="0.3">
      <c r="A141" s="6" t="s">
        <v>276</v>
      </c>
      <c r="B141" s="7">
        <v>45935</v>
      </c>
      <c r="C141" s="6" t="s">
        <v>277</v>
      </c>
      <c r="D141" s="6" t="s">
        <v>21</v>
      </c>
      <c r="E141" s="6" t="s">
        <v>22</v>
      </c>
      <c r="F141" s="6" t="s">
        <v>82</v>
      </c>
      <c r="G141" s="6" t="s">
        <v>40</v>
      </c>
      <c r="H141" s="6">
        <v>10</v>
      </c>
      <c r="I141" s="8">
        <v>694.18</v>
      </c>
      <c r="J141" s="8">
        <v>501.17</v>
      </c>
      <c r="K141" s="6" t="s">
        <v>32</v>
      </c>
      <c r="L141" s="9">
        <f t="shared" si="14"/>
        <v>6941.7999999999993</v>
      </c>
      <c r="M141" s="10">
        <f t="shared" si="15"/>
        <v>5011.7</v>
      </c>
      <c r="N141" s="10">
        <f t="shared" si="16"/>
        <v>1930.0999999999995</v>
      </c>
      <c r="O141" s="11">
        <f t="shared" si="17"/>
        <v>0.27804027773776246</v>
      </c>
      <c r="P141" t="str">
        <f t="shared" si="18"/>
        <v>October</v>
      </c>
      <c r="Q141" t="str">
        <f t="shared" si="19"/>
        <v>Q4</v>
      </c>
      <c r="R141" t="str">
        <f t="shared" si="20"/>
        <v>Low</v>
      </c>
    </row>
    <row r="142" spans="1:18" x14ac:dyDescent="0.3">
      <c r="A142" s="6" t="s">
        <v>278</v>
      </c>
      <c r="B142" s="7">
        <v>45800</v>
      </c>
      <c r="C142" s="6" t="s">
        <v>242</v>
      </c>
      <c r="D142" s="6" t="s">
        <v>55</v>
      </c>
      <c r="E142" s="6" t="s">
        <v>46</v>
      </c>
      <c r="F142" s="6" t="s">
        <v>73</v>
      </c>
      <c r="G142" s="6" t="s">
        <v>40</v>
      </c>
      <c r="H142" s="6">
        <v>16</v>
      </c>
      <c r="I142" s="8">
        <v>33.729999999999997</v>
      </c>
      <c r="J142" s="8">
        <v>25.94</v>
      </c>
      <c r="K142" s="6" t="s">
        <v>25</v>
      </c>
      <c r="L142" s="9">
        <f t="shared" si="14"/>
        <v>539.67999999999995</v>
      </c>
      <c r="M142" s="10">
        <f t="shared" si="15"/>
        <v>415.04</v>
      </c>
      <c r="N142" s="10">
        <f t="shared" si="16"/>
        <v>124.63999999999993</v>
      </c>
      <c r="O142" s="11">
        <f t="shared" si="17"/>
        <v>0.23095167506670608</v>
      </c>
      <c r="P142" t="str">
        <f t="shared" si="18"/>
        <v>May</v>
      </c>
      <c r="Q142" t="str">
        <f t="shared" si="19"/>
        <v>Q2</v>
      </c>
      <c r="R142" t="str">
        <f t="shared" si="20"/>
        <v>Low</v>
      </c>
    </row>
    <row r="143" spans="1:18" x14ac:dyDescent="0.3">
      <c r="A143" s="6" t="s">
        <v>279</v>
      </c>
      <c r="B143" s="7">
        <v>45841</v>
      </c>
      <c r="C143" s="6" t="s">
        <v>160</v>
      </c>
      <c r="D143" s="6" t="s">
        <v>21</v>
      </c>
      <c r="E143" s="6" t="s">
        <v>29</v>
      </c>
      <c r="F143" s="6" t="s">
        <v>30</v>
      </c>
      <c r="G143" s="6" t="s">
        <v>60</v>
      </c>
      <c r="H143" s="6">
        <v>6</v>
      </c>
      <c r="I143" s="8">
        <v>849.69</v>
      </c>
      <c r="J143" s="8">
        <v>747.23</v>
      </c>
      <c r="K143" s="6" t="s">
        <v>41</v>
      </c>
      <c r="L143" s="9">
        <f t="shared" si="14"/>
        <v>5098.1400000000003</v>
      </c>
      <c r="M143" s="10">
        <f t="shared" si="15"/>
        <v>4483.38</v>
      </c>
      <c r="N143" s="10">
        <f t="shared" si="16"/>
        <v>614.76000000000022</v>
      </c>
      <c r="O143" s="11">
        <f t="shared" si="17"/>
        <v>0.12058515458579015</v>
      </c>
      <c r="P143" t="str">
        <f t="shared" si="18"/>
        <v>July</v>
      </c>
      <c r="Q143" t="str">
        <f t="shared" si="19"/>
        <v>Q3</v>
      </c>
      <c r="R143" t="str">
        <f t="shared" si="20"/>
        <v>Low</v>
      </c>
    </row>
    <row r="144" spans="1:18" x14ac:dyDescent="0.3">
      <c r="A144" s="6" t="s">
        <v>280</v>
      </c>
      <c r="B144" s="7">
        <v>45682</v>
      </c>
      <c r="C144" s="6" t="s">
        <v>281</v>
      </c>
      <c r="D144" s="6" t="s">
        <v>38</v>
      </c>
      <c r="E144" s="6" t="s">
        <v>22</v>
      </c>
      <c r="F144" s="6" t="s">
        <v>68</v>
      </c>
      <c r="G144" s="6" t="s">
        <v>60</v>
      </c>
      <c r="H144" s="6">
        <v>17</v>
      </c>
      <c r="I144" s="8">
        <v>284.05</v>
      </c>
      <c r="J144" s="8">
        <v>214.81</v>
      </c>
      <c r="K144" s="6" t="s">
        <v>41</v>
      </c>
      <c r="L144" s="9">
        <f t="shared" si="14"/>
        <v>4828.8500000000004</v>
      </c>
      <c r="M144" s="10">
        <f t="shared" si="15"/>
        <v>3651.77</v>
      </c>
      <c r="N144" s="10">
        <f t="shared" si="16"/>
        <v>1177.0800000000004</v>
      </c>
      <c r="O144" s="11">
        <f t="shared" si="17"/>
        <v>0.24375990142580536</v>
      </c>
      <c r="P144" t="str">
        <f t="shared" si="18"/>
        <v>January</v>
      </c>
      <c r="Q144" t="str">
        <f t="shared" si="19"/>
        <v>Q1</v>
      </c>
      <c r="R144" t="str">
        <f t="shared" si="20"/>
        <v>Low</v>
      </c>
    </row>
    <row r="145" spans="1:18" x14ac:dyDescent="0.3">
      <c r="A145" s="6" t="s">
        <v>282</v>
      </c>
      <c r="B145" s="7">
        <v>45684</v>
      </c>
      <c r="C145" s="6" t="s">
        <v>283</v>
      </c>
      <c r="D145" s="6" t="s">
        <v>55</v>
      </c>
      <c r="E145" s="6" t="s">
        <v>22</v>
      </c>
      <c r="F145" s="6" t="s">
        <v>56</v>
      </c>
      <c r="G145" s="6" t="s">
        <v>60</v>
      </c>
      <c r="H145" s="6">
        <v>7</v>
      </c>
      <c r="I145" s="8">
        <v>754.06</v>
      </c>
      <c r="J145" s="8">
        <v>462.11</v>
      </c>
      <c r="K145" s="6" t="s">
        <v>25</v>
      </c>
      <c r="L145" s="9">
        <f t="shared" si="14"/>
        <v>5278.42</v>
      </c>
      <c r="M145" s="10">
        <f t="shared" si="15"/>
        <v>3234.77</v>
      </c>
      <c r="N145" s="10">
        <f t="shared" si="16"/>
        <v>2043.65</v>
      </c>
      <c r="O145" s="11">
        <f t="shared" si="17"/>
        <v>0.38717078216587542</v>
      </c>
      <c r="P145" t="str">
        <f t="shared" si="18"/>
        <v>January</v>
      </c>
      <c r="Q145" t="str">
        <f t="shared" si="19"/>
        <v>Q1</v>
      </c>
      <c r="R145" t="str">
        <f t="shared" si="20"/>
        <v>Low</v>
      </c>
    </row>
    <row r="146" spans="1:18" x14ac:dyDescent="0.3">
      <c r="A146" s="6" t="s">
        <v>284</v>
      </c>
      <c r="B146" s="7">
        <v>45805</v>
      </c>
      <c r="C146" s="6" t="s">
        <v>285</v>
      </c>
      <c r="D146" s="6" t="s">
        <v>55</v>
      </c>
      <c r="E146" s="6" t="s">
        <v>22</v>
      </c>
      <c r="F146" s="6" t="s">
        <v>68</v>
      </c>
      <c r="G146" s="6" t="s">
        <v>31</v>
      </c>
      <c r="H146" s="6">
        <v>10</v>
      </c>
      <c r="I146" s="8">
        <v>815.83</v>
      </c>
      <c r="J146" s="8">
        <v>564.01</v>
      </c>
      <c r="K146" s="6" t="s">
        <v>25</v>
      </c>
      <c r="L146" s="9">
        <f t="shared" si="14"/>
        <v>8158.3</v>
      </c>
      <c r="M146" s="10">
        <f t="shared" si="15"/>
        <v>5640.1</v>
      </c>
      <c r="N146" s="10">
        <f t="shared" si="16"/>
        <v>2518.1999999999998</v>
      </c>
      <c r="O146" s="11">
        <f t="shared" si="17"/>
        <v>0.30866724685289826</v>
      </c>
      <c r="P146" t="str">
        <f t="shared" si="18"/>
        <v>May</v>
      </c>
      <c r="Q146" t="str">
        <f t="shared" si="19"/>
        <v>Q2</v>
      </c>
      <c r="R146" t="str">
        <f t="shared" si="20"/>
        <v>Low</v>
      </c>
    </row>
    <row r="147" spans="1:18" x14ac:dyDescent="0.3">
      <c r="A147" s="6" t="s">
        <v>286</v>
      </c>
      <c r="B147" s="7">
        <v>45734</v>
      </c>
      <c r="C147" s="6" t="s">
        <v>112</v>
      </c>
      <c r="D147" s="6" t="s">
        <v>38</v>
      </c>
      <c r="E147" s="6" t="s">
        <v>22</v>
      </c>
      <c r="F147" s="6" t="s">
        <v>56</v>
      </c>
      <c r="G147" s="6" t="s">
        <v>65</v>
      </c>
      <c r="H147" s="6">
        <v>17</v>
      </c>
      <c r="I147" s="8">
        <v>106.64</v>
      </c>
      <c r="J147" s="8">
        <v>88.45</v>
      </c>
      <c r="K147" s="6" t="s">
        <v>41</v>
      </c>
      <c r="L147" s="9">
        <f t="shared" si="14"/>
        <v>1812.88</v>
      </c>
      <c r="M147" s="10">
        <f t="shared" si="15"/>
        <v>1503.65</v>
      </c>
      <c r="N147" s="10">
        <f t="shared" si="16"/>
        <v>309.23</v>
      </c>
      <c r="O147" s="11">
        <f t="shared" si="17"/>
        <v>0.17057389347336835</v>
      </c>
      <c r="P147" t="str">
        <f t="shared" si="18"/>
        <v>March</v>
      </c>
      <c r="Q147" t="str">
        <f t="shared" si="19"/>
        <v>Q1</v>
      </c>
      <c r="R147" t="str">
        <f t="shared" si="20"/>
        <v>Low</v>
      </c>
    </row>
    <row r="148" spans="1:18" x14ac:dyDescent="0.3">
      <c r="A148" s="6" t="s">
        <v>287</v>
      </c>
      <c r="B148" s="7">
        <v>45890</v>
      </c>
      <c r="C148" s="6" t="s">
        <v>145</v>
      </c>
      <c r="D148" s="6" t="s">
        <v>28</v>
      </c>
      <c r="E148" s="6" t="s">
        <v>29</v>
      </c>
      <c r="F148" s="6" t="s">
        <v>35</v>
      </c>
      <c r="G148" s="6" t="s">
        <v>40</v>
      </c>
      <c r="H148" s="6">
        <v>14</v>
      </c>
      <c r="I148" s="8">
        <v>904.05</v>
      </c>
      <c r="J148" s="8">
        <v>733.1</v>
      </c>
      <c r="K148" s="6" t="s">
        <v>41</v>
      </c>
      <c r="L148" s="9">
        <f t="shared" si="14"/>
        <v>12656.699999999999</v>
      </c>
      <c r="M148" s="10">
        <f t="shared" si="15"/>
        <v>10263.4</v>
      </c>
      <c r="N148" s="10">
        <f t="shared" si="16"/>
        <v>2393.2999999999993</v>
      </c>
      <c r="O148" s="11">
        <f t="shared" si="17"/>
        <v>0.18909352358829706</v>
      </c>
      <c r="P148" t="str">
        <f t="shared" si="18"/>
        <v>August</v>
      </c>
      <c r="Q148" t="str">
        <f t="shared" si="19"/>
        <v>Q3</v>
      </c>
      <c r="R148" t="str">
        <f t="shared" si="20"/>
        <v>High</v>
      </c>
    </row>
    <row r="149" spans="1:18" x14ac:dyDescent="0.3">
      <c r="A149" s="6" t="s">
        <v>288</v>
      </c>
      <c r="B149" s="7">
        <v>45760</v>
      </c>
      <c r="C149" s="6" t="s">
        <v>289</v>
      </c>
      <c r="D149" s="6" t="s">
        <v>55</v>
      </c>
      <c r="E149" s="6" t="s">
        <v>22</v>
      </c>
      <c r="F149" s="6" t="s">
        <v>82</v>
      </c>
      <c r="G149" s="6" t="s">
        <v>24</v>
      </c>
      <c r="H149" s="6">
        <v>12</v>
      </c>
      <c r="I149" s="8">
        <v>1106.08</v>
      </c>
      <c r="J149" s="8">
        <v>596.46</v>
      </c>
      <c r="K149" s="6" t="s">
        <v>32</v>
      </c>
      <c r="L149" s="9">
        <f t="shared" si="14"/>
        <v>13272.96</v>
      </c>
      <c r="M149" s="10">
        <f t="shared" si="15"/>
        <v>7157.52</v>
      </c>
      <c r="N149" s="10">
        <f t="shared" si="16"/>
        <v>6115.4399999999987</v>
      </c>
      <c r="O149" s="11">
        <f t="shared" si="17"/>
        <v>0.46074424996383617</v>
      </c>
      <c r="P149" t="str">
        <f t="shared" si="18"/>
        <v>April</v>
      </c>
      <c r="Q149" t="str">
        <f t="shared" si="19"/>
        <v>Q2</v>
      </c>
      <c r="R149" t="str">
        <f t="shared" si="20"/>
        <v>High</v>
      </c>
    </row>
    <row r="150" spans="1:18" x14ac:dyDescent="0.3">
      <c r="A150" s="6" t="s">
        <v>290</v>
      </c>
      <c r="B150" s="7">
        <v>45923</v>
      </c>
      <c r="C150" s="6" t="s">
        <v>266</v>
      </c>
      <c r="D150" s="6" t="s">
        <v>21</v>
      </c>
      <c r="E150" s="6" t="s">
        <v>22</v>
      </c>
      <c r="F150" s="6" t="s">
        <v>82</v>
      </c>
      <c r="G150" s="6" t="s">
        <v>24</v>
      </c>
      <c r="H150" s="6">
        <v>14</v>
      </c>
      <c r="I150" s="8">
        <v>858.49</v>
      </c>
      <c r="J150" s="8">
        <v>582.07000000000005</v>
      </c>
      <c r="K150" s="6" t="s">
        <v>32</v>
      </c>
      <c r="L150" s="9">
        <f t="shared" si="14"/>
        <v>12018.86</v>
      </c>
      <c r="M150" s="10">
        <f t="shared" si="15"/>
        <v>8148.9800000000005</v>
      </c>
      <c r="N150" s="10">
        <f t="shared" si="16"/>
        <v>3869.88</v>
      </c>
      <c r="O150" s="11">
        <f t="shared" si="17"/>
        <v>0.32198394856084522</v>
      </c>
      <c r="P150" t="str">
        <f t="shared" si="18"/>
        <v>September</v>
      </c>
      <c r="Q150" t="str">
        <f t="shared" si="19"/>
        <v>Q3</v>
      </c>
      <c r="R150" t="str">
        <f t="shared" si="20"/>
        <v>High</v>
      </c>
    </row>
    <row r="151" spans="1:18" x14ac:dyDescent="0.3">
      <c r="A151" s="6" t="s">
        <v>291</v>
      </c>
      <c r="B151" s="7">
        <v>45853</v>
      </c>
      <c r="C151" s="6" t="s">
        <v>292</v>
      </c>
      <c r="D151" s="6" t="s">
        <v>28</v>
      </c>
      <c r="E151" s="6" t="s">
        <v>22</v>
      </c>
      <c r="F151" s="6" t="s">
        <v>23</v>
      </c>
      <c r="G151" s="6" t="s">
        <v>57</v>
      </c>
      <c r="H151" s="6">
        <v>2</v>
      </c>
      <c r="I151" s="8">
        <v>379.43</v>
      </c>
      <c r="J151" s="8">
        <v>253.08</v>
      </c>
      <c r="K151" s="6" t="s">
        <v>41</v>
      </c>
      <c r="L151" s="9">
        <f t="shared" si="14"/>
        <v>758.86</v>
      </c>
      <c r="M151" s="10">
        <f t="shared" si="15"/>
        <v>506.16</v>
      </c>
      <c r="N151" s="10">
        <f t="shared" si="16"/>
        <v>252.7</v>
      </c>
      <c r="O151" s="11">
        <f t="shared" si="17"/>
        <v>0.33299949924887329</v>
      </c>
      <c r="P151" t="str">
        <f t="shared" si="18"/>
        <v>July</v>
      </c>
      <c r="Q151" t="str">
        <f t="shared" si="19"/>
        <v>Q3</v>
      </c>
      <c r="R151" t="str">
        <f t="shared" si="20"/>
        <v>Low</v>
      </c>
    </row>
    <row r="152" spans="1:18" x14ac:dyDescent="0.3">
      <c r="A152" s="6" t="s">
        <v>293</v>
      </c>
      <c r="B152" s="7">
        <v>45907</v>
      </c>
      <c r="C152" s="6" t="s">
        <v>261</v>
      </c>
      <c r="D152" s="6" t="s">
        <v>28</v>
      </c>
      <c r="E152" s="6" t="s">
        <v>29</v>
      </c>
      <c r="F152" s="6" t="s">
        <v>39</v>
      </c>
      <c r="G152" s="6" t="s">
        <v>31</v>
      </c>
      <c r="H152" s="6">
        <v>11</v>
      </c>
      <c r="I152" s="8">
        <v>990.07</v>
      </c>
      <c r="J152" s="8">
        <v>723.69</v>
      </c>
      <c r="K152" s="6" t="s">
        <v>25</v>
      </c>
      <c r="L152" s="9">
        <f t="shared" si="14"/>
        <v>10890.77</v>
      </c>
      <c r="M152" s="10">
        <f t="shared" si="15"/>
        <v>7960.59</v>
      </c>
      <c r="N152" s="10">
        <f t="shared" si="16"/>
        <v>2930.1800000000003</v>
      </c>
      <c r="O152" s="11">
        <f t="shared" si="17"/>
        <v>0.26905168321431822</v>
      </c>
      <c r="P152" t="str">
        <f t="shared" si="18"/>
        <v>September</v>
      </c>
      <c r="Q152" t="str">
        <f t="shared" si="19"/>
        <v>Q3</v>
      </c>
      <c r="R152" t="str">
        <f t="shared" si="20"/>
        <v>High</v>
      </c>
    </row>
    <row r="153" spans="1:18" x14ac:dyDescent="0.3">
      <c r="A153" s="6" t="s">
        <v>294</v>
      </c>
      <c r="B153" s="7">
        <v>45757</v>
      </c>
      <c r="C153" s="6" t="s">
        <v>240</v>
      </c>
      <c r="D153" s="6" t="s">
        <v>28</v>
      </c>
      <c r="E153" s="6" t="s">
        <v>46</v>
      </c>
      <c r="F153" s="6" t="s">
        <v>85</v>
      </c>
      <c r="G153" s="6" t="s">
        <v>24</v>
      </c>
      <c r="H153" s="6">
        <v>5</v>
      </c>
      <c r="I153" s="8">
        <v>1039.8900000000001</v>
      </c>
      <c r="J153" s="8">
        <v>835.95</v>
      </c>
      <c r="K153" s="6" t="s">
        <v>32</v>
      </c>
      <c r="L153" s="9">
        <f t="shared" si="14"/>
        <v>5199.4500000000007</v>
      </c>
      <c r="M153" s="10">
        <f t="shared" si="15"/>
        <v>4179.75</v>
      </c>
      <c r="N153" s="10">
        <f t="shared" si="16"/>
        <v>1019.7000000000007</v>
      </c>
      <c r="O153" s="11">
        <f t="shared" si="17"/>
        <v>0.19611689697948834</v>
      </c>
      <c r="P153" t="str">
        <f t="shared" si="18"/>
        <v>April</v>
      </c>
      <c r="Q153" t="str">
        <f t="shared" si="19"/>
        <v>Q2</v>
      </c>
      <c r="R153" t="str">
        <f t="shared" si="20"/>
        <v>Low</v>
      </c>
    </row>
    <row r="154" spans="1:18" x14ac:dyDescent="0.3">
      <c r="A154" s="6" t="s">
        <v>295</v>
      </c>
      <c r="B154" s="7">
        <v>45903</v>
      </c>
      <c r="C154" s="6" t="s">
        <v>191</v>
      </c>
      <c r="D154" s="6" t="s">
        <v>21</v>
      </c>
      <c r="E154" s="6" t="s">
        <v>46</v>
      </c>
      <c r="F154" s="6" t="s">
        <v>47</v>
      </c>
      <c r="G154" s="6" t="s">
        <v>60</v>
      </c>
      <c r="H154" s="6">
        <v>9</v>
      </c>
      <c r="I154" s="8">
        <v>818.44</v>
      </c>
      <c r="J154" s="8">
        <v>501.22</v>
      </c>
      <c r="K154" s="6" t="s">
        <v>25</v>
      </c>
      <c r="L154" s="9">
        <f t="shared" si="14"/>
        <v>7365.9600000000009</v>
      </c>
      <c r="M154" s="10">
        <f t="shared" si="15"/>
        <v>4510.9800000000005</v>
      </c>
      <c r="N154" s="10">
        <f t="shared" si="16"/>
        <v>2854.9800000000005</v>
      </c>
      <c r="O154" s="11">
        <f t="shared" si="17"/>
        <v>0.38759102683153318</v>
      </c>
      <c r="P154" t="str">
        <f t="shared" si="18"/>
        <v>September</v>
      </c>
      <c r="Q154" t="str">
        <f t="shared" si="19"/>
        <v>Q3</v>
      </c>
      <c r="R154" t="str">
        <f t="shared" si="20"/>
        <v>Low</v>
      </c>
    </row>
    <row r="155" spans="1:18" x14ac:dyDescent="0.3">
      <c r="A155" s="6" t="s">
        <v>296</v>
      </c>
      <c r="B155" s="7">
        <v>45705</v>
      </c>
      <c r="C155" s="6" t="s">
        <v>197</v>
      </c>
      <c r="D155" s="6" t="s">
        <v>21</v>
      </c>
      <c r="E155" s="6" t="s">
        <v>29</v>
      </c>
      <c r="F155" s="6" t="s">
        <v>35</v>
      </c>
      <c r="G155" s="6" t="s">
        <v>24</v>
      </c>
      <c r="H155" s="6">
        <v>15</v>
      </c>
      <c r="I155" s="8">
        <v>1428.26</v>
      </c>
      <c r="J155" s="8">
        <v>1109.08</v>
      </c>
      <c r="K155" s="6" t="s">
        <v>41</v>
      </c>
      <c r="L155" s="9">
        <f t="shared" si="14"/>
        <v>21423.9</v>
      </c>
      <c r="M155" s="10">
        <f t="shared" si="15"/>
        <v>16636.199999999997</v>
      </c>
      <c r="N155" s="10">
        <f t="shared" si="16"/>
        <v>4787.7000000000044</v>
      </c>
      <c r="O155" s="11">
        <f t="shared" si="17"/>
        <v>0.22347471748841266</v>
      </c>
      <c r="P155" t="str">
        <f t="shared" si="18"/>
        <v>February</v>
      </c>
      <c r="Q155" t="str">
        <f t="shared" si="19"/>
        <v>Q1</v>
      </c>
      <c r="R155" t="str">
        <f t="shared" si="20"/>
        <v>High</v>
      </c>
    </row>
    <row r="156" spans="1:18" x14ac:dyDescent="0.3">
      <c r="A156" s="6" t="s">
        <v>297</v>
      </c>
      <c r="B156" s="7">
        <v>45809</v>
      </c>
      <c r="C156" s="6" t="s">
        <v>64</v>
      </c>
      <c r="D156" s="6" t="s">
        <v>55</v>
      </c>
      <c r="E156" s="6" t="s">
        <v>46</v>
      </c>
      <c r="F156" s="6" t="s">
        <v>73</v>
      </c>
      <c r="G156" s="6" t="s">
        <v>24</v>
      </c>
      <c r="H156" s="6">
        <v>2</v>
      </c>
      <c r="I156" s="8">
        <v>345.93</v>
      </c>
      <c r="J156" s="8">
        <v>271.25</v>
      </c>
      <c r="K156" s="6" t="s">
        <v>41</v>
      </c>
      <c r="L156" s="9">
        <f t="shared" si="14"/>
        <v>691.86</v>
      </c>
      <c r="M156" s="10">
        <f t="shared" si="15"/>
        <v>542.5</v>
      </c>
      <c r="N156" s="10">
        <f t="shared" si="16"/>
        <v>149.36000000000001</v>
      </c>
      <c r="O156" s="11">
        <f t="shared" si="17"/>
        <v>0.21588182580290813</v>
      </c>
      <c r="P156" t="str">
        <f t="shared" si="18"/>
        <v>June</v>
      </c>
      <c r="Q156" t="str">
        <f t="shared" si="19"/>
        <v>Q2</v>
      </c>
      <c r="R156" t="str">
        <f t="shared" si="20"/>
        <v>Low</v>
      </c>
    </row>
    <row r="157" spans="1:18" x14ac:dyDescent="0.3">
      <c r="A157" s="6" t="s">
        <v>298</v>
      </c>
      <c r="B157" s="7">
        <v>45992</v>
      </c>
      <c r="C157" s="6" t="s">
        <v>164</v>
      </c>
      <c r="D157" s="6" t="s">
        <v>28</v>
      </c>
      <c r="E157" s="6" t="s">
        <v>46</v>
      </c>
      <c r="F157" s="6" t="s">
        <v>73</v>
      </c>
      <c r="G157" s="6" t="s">
        <v>57</v>
      </c>
      <c r="H157" s="6">
        <v>16</v>
      </c>
      <c r="I157" s="8">
        <v>1111.33</v>
      </c>
      <c r="J157" s="8">
        <v>822.44</v>
      </c>
      <c r="K157" s="6" t="s">
        <v>41</v>
      </c>
      <c r="L157" s="9">
        <f t="shared" si="14"/>
        <v>17781.28</v>
      </c>
      <c r="M157" s="10">
        <f t="shared" si="15"/>
        <v>13159.04</v>
      </c>
      <c r="N157" s="10">
        <f t="shared" si="16"/>
        <v>4622.239999999998</v>
      </c>
      <c r="O157" s="11">
        <f t="shared" si="17"/>
        <v>0.25994978989139128</v>
      </c>
      <c r="P157" t="str">
        <f t="shared" si="18"/>
        <v>December</v>
      </c>
      <c r="Q157" t="str">
        <f t="shared" si="19"/>
        <v>Q4</v>
      </c>
      <c r="R157" t="str">
        <f t="shared" si="20"/>
        <v>High</v>
      </c>
    </row>
    <row r="158" spans="1:18" x14ac:dyDescent="0.3">
      <c r="A158" s="6" t="s">
        <v>299</v>
      </c>
      <c r="B158" s="7">
        <v>45997</v>
      </c>
      <c r="C158" s="6" t="s">
        <v>300</v>
      </c>
      <c r="D158" s="6" t="s">
        <v>55</v>
      </c>
      <c r="E158" s="6" t="s">
        <v>22</v>
      </c>
      <c r="F158" s="6" t="s">
        <v>68</v>
      </c>
      <c r="G158" s="6" t="s">
        <v>24</v>
      </c>
      <c r="H158" s="6">
        <v>13</v>
      </c>
      <c r="I158" s="8">
        <v>1171.77</v>
      </c>
      <c r="J158" s="8">
        <v>869.35</v>
      </c>
      <c r="K158" s="6" t="s">
        <v>41</v>
      </c>
      <c r="L158" s="9">
        <f t="shared" si="14"/>
        <v>15233.01</v>
      </c>
      <c r="M158" s="10">
        <f t="shared" si="15"/>
        <v>11301.550000000001</v>
      </c>
      <c r="N158" s="10">
        <f t="shared" si="16"/>
        <v>3931.4599999999991</v>
      </c>
      <c r="O158" s="11">
        <f t="shared" si="17"/>
        <v>0.25808819136861322</v>
      </c>
      <c r="P158" t="str">
        <f t="shared" si="18"/>
        <v>December</v>
      </c>
      <c r="Q158" t="str">
        <f t="shared" si="19"/>
        <v>Q4</v>
      </c>
      <c r="R158" t="str">
        <f t="shared" si="20"/>
        <v>High</v>
      </c>
    </row>
    <row r="159" spans="1:18" x14ac:dyDescent="0.3">
      <c r="A159" s="6" t="s">
        <v>301</v>
      </c>
      <c r="B159" s="7">
        <v>45694</v>
      </c>
      <c r="C159" s="6" t="s">
        <v>179</v>
      </c>
      <c r="D159" s="6" t="s">
        <v>28</v>
      </c>
      <c r="E159" s="6" t="s">
        <v>22</v>
      </c>
      <c r="F159" s="6" t="s">
        <v>68</v>
      </c>
      <c r="G159" s="6" t="s">
        <v>60</v>
      </c>
      <c r="H159" s="6">
        <v>9</v>
      </c>
      <c r="I159" s="8">
        <v>326.20999999999998</v>
      </c>
      <c r="J159" s="8">
        <v>260.58</v>
      </c>
      <c r="K159" s="6" t="s">
        <v>41</v>
      </c>
      <c r="L159" s="9">
        <f t="shared" si="14"/>
        <v>2935.89</v>
      </c>
      <c r="M159" s="10">
        <f t="shared" si="15"/>
        <v>2345.2199999999998</v>
      </c>
      <c r="N159" s="10">
        <f t="shared" si="16"/>
        <v>590.67000000000007</v>
      </c>
      <c r="O159" s="11">
        <f t="shared" si="17"/>
        <v>0.20118941785966099</v>
      </c>
      <c r="P159" t="str">
        <f t="shared" si="18"/>
        <v>February</v>
      </c>
      <c r="Q159" t="str">
        <f t="shared" si="19"/>
        <v>Q1</v>
      </c>
      <c r="R159" t="str">
        <f t="shared" si="20"/>
        <v>Low</v>
      </c>
    </row>
    <row r="160" spans="1:18" x14ac:dyDescent="0.3">
      <c r="A160" s="6" t="s">
        <v>302</v>
      </c>
      <c r="B160" s="7">
        <v>45905</v>
      </c>
      <c r="C160" s="6" t="s">
        <v>303</v>
      </c>
      <c r="D160" s="6" t="s">
        <v>21</v>
      </c>
      <c r="E160" s="6" t="s">
        <v>46</v>
      </c>
      <c r="F160" s="6" t="s">
        <v>85</v>
      </c>
      <c r="G160" s="6" t="s">
        <v>31</v>
      </c>
      <c r="H160" s="6">
        <v>5</v>
      </c>
      <c r="I160" s="8">
        <v>133.96</v>
      </c>
      <c r="J160" s="8">
        <v>115.46</v>
      </c>
      <c r="K160" s="6" t="s">
        <v>32</v>
      </c>
      <c r="L160" s="9">
        <f t="shared" si="14"/>
        <v>669.80000000000007</v>
      </c>
      <c r="M160" s="10">
        <f t="shared" si="15"/>
        <v>577.29999999999995</v>
      </c>
      <c r="N160" s="10">
        <f t="shared" si="16"/>
        <v>92.500000000000114</v>
      </c>
      <c r="O160" s="11">
        <f t="shared" si="17"/>
        <v>0.13810092564944776</v>
      </c>
      <c r="P160" t="str">
        <f t="shared" si="18"/>
        <v>September</v>
      </c>
      <c r="Q160" t="str">
        <f t="shared" si="19"/>
        <v>Q3</v>
      </c>
      <c r="R160" t="str">
        <f t="shared" si="20"/>
        <v>Low</v>
      </c>
    </row>
    <row r="161" spans="1:18" x14ac:dyDescent="0.3">
      <c r="A161" s="6" t="s">
        <v>304</v>
      </c>
      <c r="B161" s="7">
        <v>45901</v>
      </c>
      <c r="C161" s="6" t="s">
        <v>305</v>
      </c>
      <c r="D161" s="6" t="s">
        <v>38</v>
      </c>
      <c r="E161" s="6" t="s">
        <v>22</v>
      </c>
      <c r="F161" s="6" t="s">
        <v>56</v>
      </c>
      <c r="G161" s="6" t="s">
        <v>60</v>
      </c>
      <c r="H161" s="6">
        <v>4</v>
      </c>
      <c r="I161" s="8">
        <v>538.45000000000005</v>
      </c>
      <c r="J161" s="8">
        <v>309.22000000000003</v>
      </c>
      <c r="K161" s="6" t="s">
        <v>25</v>
      </c>
      <c r="L161" s="9">
        <f t="shared" si="14"/>
        <v>2153.8000000000002</v>
      </c>
      <c r="M161" s="10">
        <f t="shared" si="15"/>
        <v>1236.8800000000001</v>
      </c>
      <c r="N161" s="10">
        <f t="shared" si="16"/>
        <v>916.92000000000007</v>
      </c>
      <c r="O161" s="11">
        <f t="shared" si="17"/>
        <v>0.42572197975670906</v>
      </c>
      <c r="P161" t="str">
        <f t="shared" si="18"/>
        <v>September</v>
      </c>
      <c r="Q161" t="str">
        <f t="shared" si="19"/>
        <v>Q3</v>
      </c>
      <c r="R161" t="str">
        <f t="shared" si="20"/>
        <v>Low</v>
      </c>
    </row>
    <row r="162" spans="1:18" x14ac:dyDescent="0.3">
      <c r="A162" s="6" t="s">
        <v>306</v>
      </c>
      <c r="B162" s="7">
        <v>45771</v>
      </c>
      <c r="C162" s="6" t="s">
        <v>307</v>
      </c>
      <c r="D162" s="6" t="s">
        <v>55</v>
      </c>
      <c r="E162" s="6" t="s">
        <v>22</v>
      </c>
      <c r="F162" s="6" t="s">
        <v>68</v>
      </c>
      <c r="G162" s="6" t="s">
        <v>57</v>
      </c>
      <c r="H162" s="6">
        <v>10</v>
      </c>
      <c r="I162" s="8">
        <v>1097.0999999999999</v>
      </c>
      <c r="J162" s="8">
        <v>617.25</v>
      </c>
      <c r="K162" s="6" t="s">
        <v>25</v>
      </c>
      <c r="L162" s="9">
        <f t="shared" si="14"/>
        <v>10971</v>
      </c>
      <c r="M162" s="10">
        <f t="shared" si="15"/>
        <v>6172.5</v>
      </c>
      <c r="N162" s="10">
        <f t="shared" si="16"/>
        <v>4798.5</v>
      </c>
      <c r="O162" s="11">
        <f t="shared" si="17"/>
        <v>0.43738036642056333</v>
      </c>
      <c r="P162" t="str">
        <f t="shared" si="18"/>
        <v>April</v>
      </c>
      <c r="Q162" t="str">
        <f t="shared" si="19"/>
        <v>Q2</v>
      </c>
      <c r="R162" t="str">
        <f t="shared" si="20"/>
        <v>High</v>
      </c>
    </row>
    <row r="163" spans="1:18" x14ac:dyDescent="0.3">
      <c r="A163" s="6" t="s">
        <v>308</v>
      </c>
      <c r="B163" s="7">
        <v>45792</v>
      </c>
      <c r="C163" s="6" t="s">
        <v>136</v>
      </c>
      <c r="D163" s="6" t="s">
        <v>28</v>
      </c>
      <c r="E163" s="6" t="s">
        <v>46</v>
      </c>
      <c r="F163" s="6" t="s">
        <v>47</v>
      </c>
      <c r="G163" s="6" t="s">
        <v>65</v>
      </c>
      <c r="H163" s="6">
        <v>2</v>
      </c>
      <c r="I163" s="8">
        <v>35.06</v>
      </c>
      <c r="J163" s="8">
        <v>28.19</v>
      </c>
      <c r="K163" s="6" t="s">
        <v>41</v>
      </c>
      <c r="L163" s="9">
        <f t="shared" si="14"/>
        <v>70.12</v>
      </c>
      <c r="M163" s="10">
        <f t="shared" si="15"/>
        <v>56.38</v>
      </c>
      <c r="N163" s="10">
        <f t="shared" si="16"/>
        <v>13.740000000000002</v>
      </c>
      <c r="O163" s="11">
        <f t="shared" si="17"/>
        <v>0.19594980034227041</v>
      </c>
      <c r="P163" t="str">
        <f t="shared" si="18"/>
        <v>May</v>
      </c>
      <c r="Q163" t="str">
        <f t="shared" si="19"/>
        <v>Q2</v>
      </c>
      <c r="R163" t="str">
        <f t="shared" si="20"/>
        <v>Low</v>
      </c>
    </row>
    <row r="164" spans="1:18" x14ac:dyDescent="0.3">
      <c r="A164" s="6" t="s">
        <v>309</v>
      </c>
      <c r="B164" s="7">
        <v>45746</v>
      </c>
      <c r="C164" s="6" t="s">
        <v>310</v>
      </c>
      <c r="D164" s="6" t="s">
        <v>21</v>
      </c>
      <c r="E164" s="6" t="s">
        <v>22</v>
      </c>
      <c r="F164" s="6" t="s">
        <v>56</v>
      </c>
      <c r="G164" s="6" t="s">
        <v>24</v>
      </c>
      <c r="H164" s="6">
        <v>14</v>
      </c>
      <c r="I164" s="8">
        <v>338.29</v>
      </c>
      <c r="J164" s="8">
        <v>180.33</v>
      </c>
      <c r="K164" s="6" t="s">
        <v>41</v>
      </c>
      <c r="L164" s="9">
        <f t="shared" si="14"/>
        <v>4736.0600000000004</v>
      </c>
      <c r="M164" s="10">
        <f t="shared" si="15"/>
        <v>2524.6200000000003</v>
      </c>
      <c r="N164" s="10">
        <f t="shared" si="16"/>
        <v>2211.44</v>
      </c>
      <c r="O164" s="11">
        <f t="shared" si="17"/>
        <v>0.4669366519849833</v>
      </c>
      <c r="P164" t="str">
        <f t="shared" si="18"/>
        <v>March</v>
      </c>
      <c r="Q164" t="str">
        <f t="shared" si="19"/>
        <v>Q1</v>
      </c>
      <c r="R164" t="str">
        <f t="shared" si="20"/>
        <v>Low</v>
      </c>
    </row>
    <row r="165" spans="1:18" x14ac:dyDescent="0.3">
      <c r="A165" s="6" t="s">
        <v>311</v>
      </c>
      <c r="B165" s="7">
        <v>45956</v>
      </c>
      <c r="C165" s="6" t="s">
        <v>87</v>
      </c>
      <c r="D165" s="6" t="s">
        <v>21</v>
      </c>
      <c r="E165" s="6" t="s">
        <v>29</v>
      </c>
      <c r="F165" s="6" t="s">
        <v>39</v>
      </c>
      <c r="G165" s="6" t="s">
        <v>65</v>
      </c>
      <c r="H165" s="6">
        <v>2</v>
      </c>
      <c r="I165" s="8">
        <v>431.67</v>
      </c>
      <c r="J165" s="8">
        <v>247.5</v>
      </c>
      <c r="K165" s="6" t="s">
        <v>25</v>
      </c>
      <c r="L165" s="9">
        <f t="shared" si="14"/>
        <v>863.34</v>
      </c>
      <c r="M165" s="10">
        <f t="shared" si="15"/>
        <v>495</v>
      </c>
      <c r="N165" s="10">
        <f t="shared" si="16"/>
        <v>368.34000000000003</v>
      </c>
      <c r="O165" s="11">
        <f t="shared" si="17"/>
        <v>0.42664535408992982</v>
      </c>
      <c r="P165" t="str">
        <f t="shared" si="18"/>
        <v>October</v>
      </c>
      <c r="Q165" t="str">
        <f t="shared" si="19"/>
        <v>Q4</v>
      </c>
      <c r="R165" t="str">
        <f t="shared" si="20"/>
        <v>Low</v>
      </c>
    </row>
    <row r="166" spans="1:18" x14ac:dyDescent="0.3">
      <c r="A166" s="6" t="s">
        <v>312</v>
      </c>
      <c r="B166" s="7">
        <v>45894</v>
      </c>
      <c r="C166" s="6" t="s">
        <v>313</v>
      </c>
      <c r="D166" s="6" t="s">
        <v>55</v>
      </c>
      <c r="E166" s="6" t="s">
        <v>29</v>
      </c>
      <c r="F166" s="6" t="s">
        <v>39</v>
      </c>
      <c r="G166" s="6" t="s">
        <v>24</v>
      </c>
      <c r="H166" s="6">
        <v>11</v>
      </c>
      <c r="I166" s="8">
        <v>824.37</v>
      </c>
      <c r="J166" s="8">
        <v>523.96</v>
      </c>
      <c r="K166" s="6" t="s">
        <v>25</v>
      </c>
      <c r="L166" s="9">
        <f t="shared" si="14"/>
        <v>9068.07</v>
      </c>
      <c r="M166" s="10">
        <f t="shared" si="15"/>
        <v>5763.56</v>
      </c>
      <c r="N166" s="10">
        <f t="shared" si="16"/>
        <v>3304.5099999999993</v>
      </c>
      <c r="O166" s="11">
        <f t="shared" si="17"/>
        <v>0.36441161129104643</v>
      </c>
      <c r="P166" t="str">
        <f t="shared" si="18"/>
        <v>August</v>
      </c>
      <c r="Q166" t="str">
        <f t="shared" si="19"/>
        <v>Q3</v>
      </c>
      <c r="R166" t="str">
        <f t="shared" si="20"/>
        <v>Low</v>
      </c>
    </row>
    <row r="167" spans="1:18" x14ac:dyDescent="0.3">
      <c r="A167" s="6" t="s">
        <v>314</v>
      </c>
      <c r="B167" s="7">
        <v>46003</v>
      </c>
      <c r="C167" s="6" t="s">
        <v>315</v>
      </c>
      <c r="D167" s="6" t="s">
        <v>38</v>
      </c>
      <c r="E167" s="6" t="s">
        <v>46</v>
      </c>
      <c r="F167" s="6" t="s">
        <v>85</v>
      </c>
      <c r="G167" s="6" t="s">
        <v>65</v>
      </c>
      <c r="H167" s="6">
        <v>4</v>
      </c>
      <c r="I167" s="8">
        <v>973.23</v>
      </c>
      <c r="J167" s="8">
        <v>515.85</v>
      </c>
      <c r="K167" s="6" t="s">
        <v>25</v>
      </c>
      <c r="L167" s="9">
        <f t="shared" si="14"/>
        <v>3892.92</v>
      </c>
      <c r="M167" s="10">
        <f t="shared" si="15"/>
        <v>2063.4</v>
      </c>
      <c r="N167" s="10">
        <f t="shared" si="16"/>
        <v>1829.52</v>
      </c>
      <c r="O167" s="11">
        <f t="shared" si="17"/>
        <v>0.46996085200826115</v>
      </c>
      <c r="P167" t="str">
        <f t="shared" si="18"/>
        <v>December</v>
      </c>
      <c r="Q167" t="str">
        <f t="shared" si="19"/>
        <v>Q4</v>
      </c>
      <c r="R167" t="str">
        <f t="shared" si="20"/>
        <v>Low</v>
      </c>
    </row>
    <row r="168" spans="1:18" x14ac:dyDescent="0.3">
      <c r="A168" s="6" t="s">
        <v>316</v>
      </c>
      <c r="B168" s="7">
        <v>45797</v>
      </c>
      <c r="C168" s="6" t="s">
        <v>213</v>
      </c>
      <c r="D168" s="6" t="s">
        <v>38</v>
      </c>
      <c r="E168" s="6" t="s">
        <v>22</v>
      </c>
      <c r="F168" s="6" t="s">
        <v>23</v>
      </c>
      <c r="G168" s="6" t="s">
        <v>40</v>
      </c>
      <c r="H168" s="6">
        <v>17</v>
      </c>
      <c r="I168" s="8">
        <v>587.45000000000005</v>
      </c>
      <c r="J168" s="8">
        <v>387.01</v>
      </c>
      <c r="K168" s="6" t="s">
        <v>41</v>
      </c>
      <c r="L168" s="9">
        <f t="shared" si="14"/>
        <v>9986.6500000000015</v>
      </c>
      <c r="M168" s="10">
        <f t="shared" si="15"/>
        <v>6579.17</v>
      </c>
      <c r="N168" s="10">
        <f t="shared" si="16"/>
        <v>3407.4800000000014</v>
      </c>
      <c r="O168" s="11">
        <f t="shared" si="17"/>
        <v>0.3412035066814198</v>
      </c>
      <c r="P168" t="str">
        <f t="shared" si="18"/>
        <v>May</v>
      </c>
      <c r="Q168" t="str">
        <f t="shared" si="19"/>
        <v>Q2</v>
      </c>
      <c r="R168" t="str">
        <f t="shared" si="20"/>
        <v>Low</v>
      </c>
    </row>
    <row r="169" spans="1:18" x14ac:dyDescent="0.3">
      <c r="A169" s="6" t="s">
        <v>317</v>
      </c>
      <c r="B169" s="7">
        <v>45658</v>
      </c>
      <c r="C169" s="6" t="s">
        <v>157</v>
      </c>
      <c r="D169" s="6" t="s">
        <v>38</v>
      </c>
      <c r="E169" s="6" t="s">
        <v>46</v>
      </c>
      <c r="F169" s="6" t="s">
        <v>80</v>
      </c>
      <c r="G169" s="6" t="s">
        <v>31</v>
      </c>
      <c r="H169" s="6">
        <v>1</v>
      </c>
      <c r="I169" s="8">
        <v>388.72</v>
      </c>
      <c r="J169" s="8">
        <v>282.17</v>
      </c>
      <c r="K169" s="6" t="s">
        <v>32</v>
      </c>
      <c r="L169" s="9">
        <f t="shared" si="14"/>
        <v>388.72</v>
      </c>
      <c r="M169" s="10">
        <f t="shared" si="15"/>
        <v>282.17</v>
      </c>
      <c r="N169" s="10">
        <f t="shared" si="16"/>
        <v>106.55000000000001</v>
      </c>
      <c r="O169" s="11">
        <f t="shared" si="17"/>
        <v>0.27410475406462237</v>
      </c>
      <c r="P169" t="str">
        <f t="shared" si="18"/>
        <v>January</v>
      </c>
      <c r="Q169" t="str">
        <f t="shared" si="19"/>
        <v>Q1</v>
      </c>
      <c r="R169" t="str">
        <f t="shared" si="20"/>
        <v>Low</v>
      </c>
    </row>
    <row r="170" spans="1:18" x14ac:dyDescent="0.3">
      <c r="A170" s="6" t="s">
        <v>318</v>
      </c>
      <c r="B170" s="7">
        <v>45674</v>
      </c>
      <c r="C170" s="6" t="s">
        <v>319</v>
      </c>
      <c r="D170" s="6" t="s">
        <v>28</v>
      </c>
      <c r="E170" s="6" t="s">
        <v>29</v>
      </c>
      <c r="F170" s="6" t="s">
        <v>30</v>
      </c>
      <c r="G170" s="6" t="s">
        <v>31</v>
      </c>
      <c r="H170" s="6">
        <v>13</v>
      </c>
      <c r="I170" s="8">
        <v>325.95</v>
      </c>
      <c r="J170" s="8">
        <v>268.08999999999997</v>
      </c>
      <c r="K170" s="6" t="s">
        <v>25</v>
      </c>
      <c r="L170" s="9">
        <f t="shared" si="14"/>
        <v>4237.3499999999995</v>
      </c>
      <c r="M170" s="10">
        <f t="shared" si="15"/>
        <v>3485.1699999999996</v>
      </c>
      <c r="N170" s="10">
        <f t="shared" si="16"/>
        <v>752.17999999999984</v>
      </c>
      <c r="O170" s="11">
        <f t="shared" si="17"/>
        <v>0.17751188832643042</v>
      </c>
      <c r="P170" t="str">
        <f t="shared" si="18"/>
        <v>January</v>
      </c>
      <c r="Q170" t="str">
        <f t="shared" si="19"/>
        <v>Q1</v>
      </c>
      <c r="R170" t="str">
        <f t="shared" si="20"/>
        <v>Low</v>
      </c>
    </row>
    <row r="171" spans="1:18" x14ac:dyDescent="0.3">
      <c r="A171" s="6" t="s">
        <v>320</v>
      </c>
      <c r="B171" s="7">
        <v>45789</v>
      </c>
      <c r="C171" s="6" t="s">
        <v>211</v>
      </c>
      <c r="D171" s="6" t="s">
        <v>28</v>
      </c>
      <c r="E171" s="6" t="s">
        <v>22</v>
      </c>
      <c r="F171" s="6" t="s">
        <v>82</v>
      </c>
      <c r="G171" s="6" t="s">
        <v>31</v>
      </c>
      <c r="H171" s="6">
        <v>5</v>
      </c>
      <c r="I171" s="8">
        <v>1008.12</v>
      </c>
      <c r="J171" s="8">
        <v>879.73</v>
      </c>
      <c r="K171" s="6" t="s">
        <v>32</v>
      </c>
      <c r="L171" s="9">
        <f t="shared" si="14"/>
        <v>5040.6000000000004</v>
      </c>
      <c r="M171" s="10">
        <f t="shared" si="15"/>
        <v>4398.6499999999996</v>
      </c>
      <c r="N171" s="10">
        <f t="shared" si="16"/>
        <v>641.95000000000073</v>
      </c>
      <c r="O171" s="11">
        <f t="shared" si="17"/>
        <v>0.12735587033289703</v>
      </c>
      <c r="P171" t="str">
        <f t="shared" si="18"/>
        <v>May</v>
      </c>
      <c r="Q171" t="str">
        <f t="shared" si="19"/>
        <v>Q2</v>
      </c>
      <c r="R171" t="str">
        <f t="shared" si="20"/>
        <v>Low</v>
      </c>
    </row>
    <row r="172" spans="1:18" x14ac:dyDescent="0.3">
      <c r="A172" s="6" t="s">
        <v>321</v>
      </c>
      <c r="B172" s="7">
        <v>45915</v>
      </c>
      <c r="C172" s="6" t="s">
        <v>168</v>
      </c>
      <c r="D172" s="6" t="s">
        <v>38</v>
      </c>
      <c r="E172" s="6" t="s">
        <v>29</v>
      </c>
      <c r="F172" s="6" t="s">
        <v>50</v>
      </c>
      <c r="G172" s="6" t="s">
        <v>65</v>
      </c>
      <c r="H172" s="6">
        <v>5</v>
      </c>
      <c r="I172" s="8">
        <v>919.43</v>
      </c>
      <c r="J172" s="8">
        <v>803.5</v>
      </c>
      <c r="K172" s="6" t="s">
        <v>25</v>
      </c>
      <c r="L172" s="9">
        <f t="shared" si="14"/>
        <v>4597.1499999999996</v>
      </c>
      <c r="M172" s="10">
        <f t="shared" si="15"/>
        <v>4017.5</v>
      </c>
      <c r="N172" s="10">
        <f t="shared" si="16"/>
        <v>579.64999999999964</v>
      </c>
      <c r="O172" s="11">
        <f t="shared" si="17"/>
        <v>0.12608898991766632</v>
      </c>
      <c r="P172" t="str">
        <f t="shared" si="18"/>
        <v>September</v>
      </c>
      <c r="Q172" t="str">
        <f t="shared" si="19"/>
        <v>Q3</v>
      </c>
      <c r="R172" t="str">
        <f t="shared" si="20"/>
        <v>Low</v>
      </c>
    </row>
    <row r="173" spans="1:18" x14ac:dyDescent="0.3">
      <c r="A173" s="6" t="s">
        <v>322</v>
      </c>
      <c r="B173" s="7">
        <v>45940</v>
      </c>
      <c r="C173" s="6" t="s">
        <v>323</v>
      </c>
      <c r="D173" s="6" t="s">
        <v>21</v>
      </c>
      <c r="E173" s="6" t="s">
        <v>29</v>
      </c>
      <c r="F173" s="6" t="s">
        <v>35</v>
      </c>
      <c r="G173" s="6" t="s">
        <v>65</v>
      </c>
      <c r="H173" s="6">
        <v>10</v>
      </c>
      <c r="I173" s="8">
        <v>1238.4100000000001</v>
      </c>
      <c r="J173" s="8">
        <v>876.48</v>
      </c>
      <c r="K173" s="6" t="s">
        <v>32</v>
      </c>
      <c r="L173" s="9">
        <f t="shared" si="14"/>
        <v>12384.1</v>
      </c>
      <c r="M173" s="10">
        <f t="shared" si="15"/>
        <v>8764.7999999999993</v>
      </c>
      <c r="N173" s="10">
        <f t="shared" si="16"/>
        <v>3619.3000000000011</v>
      </c>
      <c r="O173" s="11">
        <f t="shared" si="17"/>
        <v>0.29225377702053446</v>
      </c>
      <c r="P173" t="str">
        <f t="shared" si="18"/>
        <v>October</v>
      </c>
      <c r="Q173" t="str">
        <f t="shared" si="19"/>
        <v>Q4</v>
      </c>
      <c r="R173" t="str">
        <f t="shared" si="20"/>
        <v>High</v>
      </c>
    </row>
    <row r="174" spans="1:18" x14ac:dyDescent="0.3">
      <c r="A174" s="6" t="s">
        <v>324</v>
      </c>
      <c r="B174" s="7">
        <v>45718</v>
      </c>
      <c r="C174" s="6" t="s">
        <v>274</v>
      </c>
      <c r="D174" s="6" t="s">
        <v>38</v>
      </c>
      <c r="E174" s="6" t="s">
        <v>29</v>
      </c>
      <c r="F174" s="6" t="s">
        <v>50</v>
      </c>
      <c r="G174" s="6" t="s">
        <v>57</v>
      </c>
      <c r="H174" s="6">
        <v>19</v>
      </c>
      <c r="I174" s="8">
        <v>78.2</v>
      </c>
      <c r="J174" s="8">
        <v>69.19</v>
      </c>
      <c r="K174" s="6" t="s">
        <v>41</v>
      </c>
      <c r="L174" s="9">
        <f t="shared" si="14"/>
        <v>1485.8</v>
      </c>
      <c r="M174" s="10">
        <f t="shared" si="15"/>
        <v>1314.61</v>
      </c>
      <c r="N174" s="10">
        <f t="shared" si="16"/>
        <v>171.19000000000005</v>
      </c>
      <c r="O174" s="11">
        <f t="shared" si="17"/>
        <v>0.11521739130434787</v>
      </c>
      <c r="P174" t="str">
        <f t="shared" si="18"/>
        <v>March</v>
      </c>
      <c r="Q174" t="str">
        <f t="shared" si="19"/>
        <v>Q1</v>
      </c>
      <c r="R174" t="str">
        <f t="shared" si="20"/>
        <v>Low</v>
      </c>
    </row>
    <row r="175" spans="1:18" x14ac:dyDescent="0.3">
      <c r="A175" s="6" t="s">
        <v>325</v>
      </c>
      <c r="B175" s="7">
        <v>45838</v>
      </c>
      <c r="C175" s="6" t="s">
        <v>326</v>
      </c>
      <c r="D175" s="6" t="s">
        <v>21</v>
      </c>
      <c r="E175" s="6" t="s">
        <v>46</v>
      </c>
      <c r="F175" s="6" t="s">
        <v>47</v>
      </c>
      <c r="G175" s="6" t="s">
        <v>65</v>
      </c>
      <c r="H175" s="6">
        <v>19</v>
      </c>
      <c r="I175" s="8">
        <v>987.34</v>
      </c>
      <c r="J175" s="8">
        <v>847.63</v>
      </c>
      <c r="K175" s="6" t="s">
        <v>41</v>
      </c>
      <c r="L175" s="9">
        <f t="shared" si="14"/>
        <v>18759.46</v>
      </c>
      <c r="M175" s="10">
        <f t="shared" si="15"/>
        <v>16104.97</v>
      </c>
      <c r="N175" s="10">
        <f t="shared" si="16"/>
        <v>2654.49</v>
      </c>
      <c r="O175" s="11">
        <f t="shared" si="17"/>
        <v>0.14150140782303969</v>
      </c>
      <c r="P175" t="str">
        <f t="shared" si="18"/>
        <v>June</v>
      </c>
      <c r="Q175" t="str">
        <f t="shared" si="19"/>
        <v>Q2</v>
      </c>
      <c r="R175" t="str">
        <f t="shared" si="20"/>
        <v>High</v>
      </c>
    </row>
    <row r="176" spans="1:18" x14ac:dyDescent="0.3">
      <c r="A176" s="6" t="s">
        <v>327</v>
      </c>
      <c r="B176" s="7">
        <v>45875</v>
      </c>
      <c r="C176" s="6" t="s">
        <v>328</v>
      </c>
      <c r="D176" s="6" t="s">
        <v>55</v>
      </c>
      <c r="E176" s="6" t="s">
        <v>22</v>
      </c>
      <c r="F176" s="6" t="s">
        <v>56</v>
      </c>
      <c r="G176" s="6" t="s">
        <v>24</v>
      </c>
      <c r="H176" s="6">
        <v>17</v>
      </c>
      <c r="I176" s="8">
        <v>64.540000000000006</v>
      </c>
      <c r="J176" s="8">
        <v>37.119999999999997</v>
      </c>
      <c r="K176" s="6" t="s">
        <v>32</v>
      </c>
      <c r="L176" s="9">
        <f t="shared" si="14"/>
        <v>1097.18</v>
      </c>
      <c r="M176" s="10">
        <f t="shared" si="15"/>
        <v>631.04</v>
      </c>
      <c r="N176" s="10">
        <f t="shared" si="16"/>
        <v>466.1400000000001</v>
      </c>
      <c r="O176" s="11">
        <f t="shared" si="17"/>
        <v>0.42485280446234902</v>
      </c>
      <c r="P176" t="str">
        <f t="shared" si="18"/>
        <v>August</v>
      </c>
      <c r="Q176" t="str">
        <f t="shared" si="19"/>
        <v>Q3</v>
      </c>
      <c r="R176" t="str">
        <f t="shared" si="20"/>
        <v>Low</v>
      </c>
    </row>
    <row r="177" spans="1:18" x14ac:dyDescent="0.3">
      <c r="A177" s="6" t="s">
        <v>329</v>
      </c>
      <c r="B177" s="7">
        <v>45949</v>
      </c>
      <c r="C177" s="6" t="s">
        <v>84</v>
      </c>
      <c r="D177" s="6" t="s">
        <v>21</v>
      </c>
      <c r="E177" s="6" t="s">
        <v>46</v>
      </c>
      <c r="F177" s="6" t="s">
        <v>80</v>
      </c>
      <c r="G177" s="6" t="s">
        <v>24</v>
      </c>
      <c r="H177" s="6">
        <v>16</v>
      </c>
      <c r="I177" s="8">
        <v>1273.76</v>
      </c>
      <c r="J177" s="8">
        <v>884.71</v>
      </c>
      <c r="K177" s="6" t="s">
        <v>32</v>
      </c>
      <c r="L177" s="9">
        <f t="shared" si="14"/>
        <v>20380.16</v>
      </c>
      <c r="M177" s="10">
        <f t="shared" si="15"/>
        <v>14155.36</v>
      </c>
      <c r="N177" s="10">
        <f t="shared" si="16"/>
        <v>6224.7999999999993</v>
      </c>
      <c r="O177" s="11">
        <f t="shared" si="17"/>
        <v>0.30543430473558597</v>
      </c>
      <c r="P177" t="str">
        <f t="shared" si="18"/>
        <v>October</v>
      </c>
      <c r="Q177" t="str">
        <f t="shared" si="19"/>
        <v>Q4</v>
      </c>
      <c r="R177" t="str">
        <f t="shared" si="20"/>
        <v>High</v>
      </c>
    </row>
    <row r="178" spans="1:18" x14ac:dyDescent="0.3">
      <c r="A178" s="6" t="s">
        <v>330</v>
      </c>
      <c r="B178" s="7">
        <v>45730</v>
      </c>
      <c r="C178" s="6" t="s">
        <v>331</v>
      </c>
      <c r="D178" s="6" t="s">
        <v>38</v>
      </c>
      <c r="E178" s="6" t="s">
        <v>22</v>
      </c>
      <c r="F178" s="6" t="s">
        <v>23</v>
      </c>
      <c r="G178" s="6" t="s">
        <v>31</v>
      </c>
      <c r="H178" s="6">
        <v>16</v>
      </c>
      <c r="I178" s="8">
        <v>726.83</v>
      </c>
      <c r="J178" s="8">
        <v>479.89</v>
      </c>
      <c r="K178" s="6" t="s">
        <v>32</v>
      </c>
      <c r="L178" s="9">
        <f t="shared" si="14"/>
        <v>11629.28</v>
      </c>
      <c r="M178" s="10">
        <f t="shared" si="15"/>
        <v>7678.24</v>
      </c>
      <c r="N178" s="10">
        <f t="shared" si="16"/>
        <v>3951.0400000000009</v>
      </c>
      <c r="O178" s="11">
        <f t="shared" si="17"/>
        <v>0.33974932240001104</v>
      </c>
      <c r="P178" t="str">
        <f t="shared" si="18"/>
        <v>March</v>
      </c>
      <c r="Q178" t="str">
        <f t="shared" si="19"/>
        <v>Q1</v>
      </c>
      <c r="R178" t="str">
        <f t="shared" si="20"/>
        <v>High</v>
      </c>
    </row>
    <row r="179" spans="1:18" x14ac:dyDescent="0.3">
      <c r="A179" s="6" t="s">
        <v>332</v>
      </c>
      <c r="B179" s="7">
        <v>45794</v>
      </c>
      <c r="C179" s="6" t="s">
        <v>333</v>
      </c>
      <c r="D179" s="6" t="s">
        <v>55</v>
      </c>
      <c r="E179" s="6" t="s">
        <v>29</v>
      </c>
      <c r="F179" s="6" t="s">
        <v>30</v>
      </c>
      <c r="G179" s="6" t="s">
        <v>31</v>
      </c>
      <c r="H179" s="6">
        <v>9</v>
      </c>
      <c r="I179" s="8">
        <v>1449.88</v>
      </c>
      <c r="J179" s="8">
        <v>913.01</v>
      </c>
      <c r="K179" s="6" t="s">
        <v>32</v>
      </c>
      <c r="L179" s="9">
        <f t="shared" si="14"/>
        <v>13048.920000000002</v>
      </c>
      <c r="M179" s="10">
        <f t="shared" si="15"/>
        <v>8217.09</v>
      </c>
      <c r="N179" s="10">
        <f t="shared" si="16"/>
        <v>4831.8300000000017</v>
      </c>
      <c r="O179" s="11">
        <f t="shared" si="17"/>
        <v>0.37028581675724898</v>
      </c>
      <c r="P179" t="str">
        <f t="shared" si="18"/>
        <v>May</v>
      </c>
      <c r="Q179" t="str">
        <f t="shared" si="19"/>
        <v>Q2</v>
      </c>
      <c r="R179" t="str">
        <f t="shared" si="20"/>
        <v>High</v>
      </c>
    </row>
    <row r="180" spans="1:18" x14ac:dyDescent="0.3">
      <c r="A180" s="6" t="s">
        <v>334</v>
      </c>
      <c r="B180" s="7">
        <v>45734</v>
      </c>
      <c r="C180" s="6" t="s">
        <v>274</v>
      </c>
      <c r="D180" s="6" t="s">
        <v>55</v>
      </c>
      <c r="E180" s="6" t="s">
        <v>29</v>
      </c>
      <c r="F180" s="6" t="s">
        <v>39</v>
      </c>
      <c r="G180" s="6" t="s">
        <v>60</v>
      </c>
      <c r="H180" s="6">
        <v>12</v>
      </c>
      <c r="I180" s="8">
        <v>557.88</v>
      </c>
      <c r="J180" s="8">
        <v>316.13</v>
      </c>
      <c r="K180" s="6" t="s">
        <v>25</v>
      </c>
      <c r="L180" s="9">
        <f t="shared" si="14"/>
        <v>6694.5599999999995</v>
      </c>
      <c r="M180" s="10">
        <f t="shared" si="15"/>
        <v>3793.56</v>
      </c>
      <c r="N180" s="10">
        <f t="shared" si="16"/>
        <v>2900.9999999999995</v>
      </c>
      <c r="O180" s="11">
        <f t="shared" si="17"/>
        <v>0.43333691833369181</v>
      </c>
      <c r="P180" t="str">
        <f t="shared" si="18"/>
        <v>March</v>
      </c>
      <c r="Q180" t="str">
        <f t="shared" si="19"/>
        <v>Q1</v>
      </c>
      <c r="R180" t="str">
        <f t="shared" si="20"/>
        <v>Low</v>
      </c>
    </row>
    <row r="181" spans="1:18" x14ac:dyDescent="0.3">
      <c r="A181" s="6" t="s">
        <v>335</v>
      </c>
      <c r="B181" s="7">
        <v>45858</v>
      </c>
      <c r="C181" s="6" t="s">
        <v>336</v>
      </c>
      <c r="D181" s="6" t="s">
        <v>28</v>
      </c>
      <c r="E181" s="6" t="s">
        <v>29</v>
      </c>
      <c r="F181" s="6" t="s">
        <v>39</v>
      </c>
      <c r="G181" s="6" t="s">
        <v>60</v>
      </c>
      <c r="H181" s="6">
        <v>19</v>
      </c>
      <c r="I181" s="8">
        <v>1293.6099999999999</v>
      </c>
      <c r="J181" s="8">
        <v>964.98</v>
      </c>
      <c r="K181" s="6" t="s">
        <v>41</v>
      </c>
      <c r="L181" s="9">
        <f t="shared" si="14"/>
        <v>24578.589999999997</v>
      </c>
      <c r="M181" s="10">
        <f t="shared" si="15"/>
        <v>18334.62</v>
      </c>
      <c r="N181" s="10">
        <f t="shared" si="16"/>
        <v>6243.9699999999975</v>
      </c>
      <c r="O181" s="11">
        <f t="shared" si="17"/>
        <v>0.25404101699894088</v>
      </c>
      <c r="P181" t="str">
        <f t="shared" si="18"/>
        <v>July</v>
      </c>
      <c r="Q181" t="str">
        <f t="shared" si="19"/>
        <v>Q3</v>
      </c>
      <c r="R181" t="str">
        <f t="shared" si="20"/>
        <v>High</v>
      </c>
    </row>
    <row r="182" spans="1:18" x14ac:dyDescent="0.3">
      <c r="A182" s="6" t="s">
        <v>337</v>
      </c>
      <c r="B182" s="7">
        <v>45707</v>
      </c>
      <c r="C182" s="6" t="s">
        <v>338</v>
      </c>
      <c r="D182" s="6" t="s">
        <v>38</v>
      </c>
      <c r="E182" s="6" t="s">
        <v>46</v>
      </c>
      <c r="F182" s="6" t="s">
        <v>80</v>
      </c>
      <c r="G182" s="6" t="s">
        <v>31</v>
      </c>
      <c r="H182" s="6">
        <v>18</v>
      </c>
      <c r="I182" s="8">
        <v>1212.6500000000001</v>
      </c>
      <c r="J182" s="8">
        <v>1026.03</v>
      </c>
      <c r="K182" s="6" t="s">
        <v>25</v>
      </c>
      <c r="L182" s="9">
        <f t="shared" si="14"/>
        <v>21827.7</v>
      </c>
      <c r="M182" s="10">
        <f t="shared" si="15"/>
        <v>18468.54</v>
      </c>
      <c r="N182" s="10">
        <f t="shared" si="16"/>
        <v>3359.16</v>
      </c>
      <c r="O182" s="11">
        <f t="shared" si="17"/>
        <v>0.15389436358388653</v>
      </c>
      <c r="P182" t="str">
        <f t="shared" si="18"/>
        <v>February</v>
      </c>
      <c r="Q182" t="str">
        <f t="shared" si="19"/>
        <v>Q1</v>
      </c>
      <c r="R182" t="str">
        <f t="shared" si="20"/>
        <v>High</v>
      </c>
    </row>
    <row r="183" spans="1:18" x14ac:dyDescent="0.3">
      <c r="A183" s="6" t="s">
        <v>339</v>
      </c>
      <c r="B183" s="7">
        <v>45951</v>
      </c>
      <c r="C183" s="6" t="s">
        <v>338</v>
      </c>
      <c r="D183" s="6" t="s">
        <v>55</v>
      </c>
      <c r="E183" s="6" t="s">
        <v>29</v>
      </c>
      <c r="F183" s="6" t="s">
        <v>39</v>
      </c>
      <c r="G183" s="6" t="s">
        <v>31</v>
      </c>
      <c r="H183" s="6">
        <v>14</v>
      </c>
      <c r="I183" s="8">
        <v>567.14</v>
      </c>
      <c r="J183" s="8">
        <v>425.34</v>
      </c>
      <c r="K183" s="6" t="s">
        <v>32</v>
      </c>
      <c r="L183" s="9">
        <f t="shared" si="14"/>
        <v>7939.96</v>
      </c>
      <c r="M183" s="10">
        <f t="shared" si="15"/>
        <v>5954.7599999999993</v>
      </c>
      <c r="N183" s="10">
        <f t="shared" si="16"/>
        <v>1985.2000000000007</v>
      </c>
      <c r="O183" s="11">
        <f t="shared" si="17"/>
        <v>0.25002644849596228</v>
      </c>
      <c r="P183" t="str">
        <f t="shared" si="18"/>
        <v>October</v>
      </c>
      <c r="Q183" t="str">
        <f t="shared" si="19"/>
        <v>Q4</v>
      </c>
      <c r="R183" t="str">
        <f t="shared" si="20"/>
        <v>Low</v>
      </c>
    </row>
    <row r="184" spans="1:18" x14ac:dyDescent="0.3">
      <c r="A184" s="6" t="s">
        <v>340</v>
      </c>
      <c r="B184" s="7">
        <v>45681</v>
      </c>
      <c r="C184" s="6" t="s">
        <v>341</v>
      </c>
      <c r="D184" s="6" t="s">
        <v>38</v>
      </c>
      <c r="E184" s="6" t="s">
        <v>22</v>
      </c>
      <c r="F184" s="6" t="s">
        <v>23</v>
      </c>
      <c r="G184" s="6" t="s">
        <v>65</v>
      </c>
      <c r="H184" s="6">
        <v>17</v>
      </c>
      <c r="I184" s="8">
        <v>1351.12</v>
      </c>
      <c r="J184" s="8">
        <v>957.44</v>
      </c>
      <c r="K184" s="6" t="s">
        <v>25</v>
      </c>
      <c r="L184" s="9">
        <f t="shared" si="14"/>
        <v>22969.039999999997</v>
      </c>
      <c r="M184" s="10">
        <f t="shared" si="15"/>
        <v>16276.480000000001</v>
      </c>
      <c r="N184" s="10">
        <f t="shared" si="16"/>
        <v>6692.5599999999959</v>
      </c>
      <c r="O184" s="11">
        <f t="shared" si="17"/>
        <v>0.29137308307182175</v>
      </c>
      <c r="P184" t="str">
        <f t="shared" si="18"/>
        <v>January</v>
      </c>
      <c r="Q184" t="str">
        <f t="shared" si="19"/>
        <v>Q1</v>
      </c>
      <c r="R184" t="str">
        <f t="shared" si="20"/>
        <v>High</v>
      </c>
    </row>
    <row r="185" spans="1:18" x14ac:dyDescent="0.3">
      <c r="A185" s="6" t="s">
        <v>342</v>
      </c>
      <c r="B185" s="7">
        <v>45694</v>
      </c>
      <c r="C185" s="6" t="s">
        <v>343</v>
      </c>
      <c r="D185" s="6" t="s">
        <v>21</v>
      </c>
      <c r="E185" s="6" t="s">
        <v>29</v>
      </c>
      <c r="F185" s="6" t="s">
        <v>35</v>
      </c>
      <c r="G185" s="6" t="s">
        <v>24</v>
      </c>
      <c r="H185" s="6">
        <v>20</v>
      </c>
      <c r="I185" s="8">
        <v>326.86</v>
      </c>
      <c r="J185" s="8">
        <v>263.13</v>
      </c>
      <c r="K185" s="6" t="s">
        <v>32</v>
      </c>
      <c r="L185" s="9">
        <f t="shared" si="14"/>
        <v>6537.2000000000007</v>
      </c>
      <c r="M185" s="10">
        <f t="shared" si="15"/>
        <v>5262.6</v>
      </c>
      <c r="N185" s="10">
        <f t="shared" si="16"/>
        <v>1274.6000000000004</v>
      </c>
      <c r="O185" s="11">
        <f t="shared" si="17"/>
        <v>0.19497644251361443</v>
      </c>
      <c r="P185" t="str">
        <f t="shared" si="18"/>
        <v>February</v>
      </c>
      <c r="Q185" t="str">
        <f t="shared" si="19"/>
        <v>Q1</v>
      </c>
      <c r="R185" t="str">
        <f t="shared" si="20"/>
        <v>Low</v>
      </c>
    </row>
    <row r="186" spans="1:18" x14ac:dyDescent="0.3">
      <c r="A186" s="6" t="s">
        <v>344</v>
      </c>
      <c r="B186" s="7">
        <v>45988</v>
      </c>
      <c r="C186" s="6" t="s">
        <v>123</v>
      </c>
      <c r="D186" s="6" t="s">
        <v>21</v>
      </c>
      <c r="E186" s="6" t="s">
        <v>46</v>
      </c>
      <c r="F186" s="6" t="s">
        <v>80</v>
      </c>
      <c r="G186" s="6" t="s">
        <v>60</v>
      </c>
      <c r="H186" s="6">
        <v>12</v>
      </c>
      <c r="I186" s="8">
        <v>268.98</v>
      </c>
      <c r="J186" s="8">
        <v>207.54</v>
      </c>
      <c r="K186" s="6" t="s">
        <v>25</v>
      </c>
      <c r="L186" s="9">
        <f t="shared" si="14"/>
        <v>3227.76</v>
      </c>
      <c r="M186" s="10">
        <f t="shared" si="15"/>
        <v>2490.48</v>
      </c>
      <c r="N186" s="10">
        <f t="shared" si="16"/>
        <v>737.2800000000002</v>
      </c>
      <c r="O186" s="11">
        <f t="shared" si="17"/>
        <v>0.22841846977470448</v>
      </c>
      <c r="P186" t="str">
        <f t="shared" si="18"/>
        <v>November</v>
      </c>
      <c r="Q186" t="str">
        <f t="shared" si="19"/>
        <v>Q4</v>
      </c>
      <c r="R186" t="str">
        <f t="shared" si="20"/>
        <v>Low</v>
      </c>
    </row>
    <row r="187" spans="1:18" x14ac:dyDescent="0.3">
      <c r="A187" s="6" t="s">
        <v>345</v>
      </c>
      <c r="B187" s="7">
        <v>45774</v>
      </c>
      <c r="C187" s="6" t="s">
        <v>118</v>
      </c>
      <c r="D187" s="6" t="s">
        <v>38</v>
      </c>
      <c r="E187" s="6" t="s">
        <v>29</v>
      </c>
      <c r="F187" s="6" t="s">
        <v>50</v>
      </c>
      <c r="G187" s="6" t="s">
        <v>60</v>
      </c>
      <c r="H187" s="6">
        <v>9</v>
      </c>
      <c r="I187" s="8">
        <v>692.88</v>
      </c>
      <c r="J187" s="8">
        <v>408.14</v>
      </c>
      <c r="K187" s="6" t="s">
        <v>25</v>
      </c>
      <c r="L187" s="9">
        <f t="shared" si="14"/>
        <v>6235.92</v>
      </c>
      <c r="M187" s="10">
        <f t="shared" si="15"/>
        <v>3673.2599999999998</v>
      </c>
      <c r="N187" s="10">
        <f t="shared" si="16"/>
        <v>2562.6600000000003</v>
      </c>
      <c r="O187" s="11">
        <f t="shared" si="17"/>
        <v>0.41095139129430786</v>
      </c>
      <c r="P187" t="str">
        <f t="shared" si="18"/>
        <v>April</v>
      </c>
      <c r="Q187" t="str">
        <f t="shared" si="19"/>
        <v>Q2</v>
      </c>
      <c r="R187" t="str">
        <f t="shared" si="20"/>
        <v>Low</v>
      </c>
    </row>
    <row r="188" spans="1:18" x14ac:dyDescent="0.3">
      <c r="A188" s="6" t="s">
        <v>346</v>
      </c>
      <c r="B188" s="7">
        <v>45857</v>
      </c>
      <c r="C188" s="6" t="s">
        <v>253</v>
      </c>
      <c r="D188" s="6" t="s">
        <v>55</v>
      </c>
      <c r="E188" s="6" t="s">
        <v>46</v>
      </c>
      <c r="F188" s="6" t="s">
        <v>73</v>
      </c>
      <c r="G188" s="6" t="s">
        <v>57</v>
      </c>
      <c r="H188" s="6">
        <v>15</v>
      </c>
      <c r="I188" s="8">
        <v>831.57</v>
      </c>
      <c r="J188" s="8">
        <v>526.26</v>
      </c>
      <c r="K188" s="6" t="s">
        <v>41</v>
      </c>
      <c r="L188" s="9">
        <f t="shared" si="14"/>
        <v>12473.550000000001</v>
      </c>
      <c r="M188" s="10">
        <f t="shared" si="15"/>
        <v>7893.9</v>
      </c>
      <c r="N188" s="10">
        <f t="shared" si="16"/>
        <v>4579.6500000000015</v>
      </c>
      <c r="O188" s="11">
        <f t="shared" si="17"/>
        <v>0.36714888704498727</v>
      </c>
      <c r="P188" t="str">
        <f t="shared" si="18"/>
        <v>July</v>
      </c>
      <c r="Q188" t="str">
        <f t="shared" si="19"/>
        <v>Q3</v>
      </c>
      <c r="R188" t="str">
        <f t="shared" si="20"/>
        <v>High</v>
      </c>
    </row>
    <row r="189" spans="1:18" x14ac:dyDescent="0.3">
      <c r="A189" s="6" t="s">
        <v>347</v>
      </c>
      <c r="B189" s="7">
        <v>46004</v>
      </c>
      <c r="C189" s="6" t="s">
        <v>285</v>
      </c>
      <c r="D189" s="6" t="s">
        <v>38</v>
      </c>
      <c r="E189" s="6" t="s">
        <v>29</v>
      </c>
      <c r="F189" s="6" t="s">
        <v>39</v>
      </c>
      <c r="G189" s="6" t="s">
        <v>57</v>
      </c>
      <c r="H189" s="6">
        <v>20</v>
      </c>
      <c r="I189" s="8">
        <v>1312.8</v>
      </c>
      <c r="J189" s="8">
        <v>863.87</v>
      </c>
      <c r="K189" s="6" t="s">
        <v>25</v>
      </c>
      <c r="L189" s="9">
        <f t="shared" si="14"/>
        <v>26256</v>
      </c>
      <c r="M189" s="10">
        <f t="shared" si="15"/>
        <v>17277.400000000001</v>
      </c>
      <c r="N189" s="10">
        <f t="shared" si="16"/>
        <v>8978.5999999999985</v>
      </c>
      <c r="O189" s="11">
        <f t="shared" si="17"/>
        <v>0.34196374162096277</v>
      </c>
      <c r="P189" t="str">
        <f t="shared" si="18"/>
        <v>December</v>
      </c>
      <c r="Q189" t="str">
        <f t="shared" si="19"/>
        <v>Q4</v>
      </c>
      <c r="R189" t="str">
        <f t="shared" si="20"/>
        <v>High</v>
      </c>
    </row>
    <row r="190" spans="1:18" x14ac:dyDescent="0.3">
      <c r="A190" s="6" t="s">
        <v>348</v>
      </c>
      <c r="B190" s="7">
        <v>45721</v>
      </c>
      <c r="C190" s="6" t="s">
        <v>349</v>
      </c>
      <c r="D190" s="6" t="s">
        <v>38</v>
      </c>
      <c r="E190" s="6" t="s">
        <v>29</v>
      </c>
      <c r="F190" s="6" t="s">
        <v>50</v>
      </c>
      <c r="G190" s="6" t="s">
        <v>40</v>
      </c>
      <c r="H190" s="6">
        <v>11</v>
      </c>
      <c r="I190" s="8">
        <v>1358.58</v>
      </c>
      <c r="J190" s="8">
        <v>877.02</v>
      </c>
      <c r="K190" s="6" t="s">
        <v>25</v>
      </c>
      <c r="L190" s="9">
        <f t="shared" si="14"/>
        <v>14944.38</v>
      </c>
      <c r="M190" s="10">
        <f t="shared" si="15"/>
        <v>9647.2199999999993</v>
      </c>
      <c r="N190" s="10">
        <f t="shared" si="16"/>
        <v>5297.16</v>
      </c>
      <c r="O190" s="11">
        <f t="shared" si="17"/>
        <v>0.35445833149317668</v>
      </c>
      <c r="P190" t="str">
        <f t="shared" si="18"/>
        <v>March</v>
      </c>
      <c r="Q190" t="str">
        <f t="shared" si="19"/>
        <v>Q1</v>
      </c>
      <c r="R190" t="str">
        <f t="shared" si="20"/>
        <v>High</v>
      </c>
    </row>
    <row r="191" spans="1:18" x14ac:dyDescent="0.3">
      <c r="A191" s="6" t="s">
        <v>350</v>
      </c>
      <c r="B191" s="7">
        <v>45915</v>
      </c>
      <c r="C191" s="6" t="s">
        <v>303</v>
      </c>
      <c r="D191" s="6" t="s">
        <v>55</v>
      </c>
      <c r="E191" s="6" t="s">
        <v>29</v>
      </c>
      <c r="F191" s="6" t="s">
        <v>30</v>
      </c>
      <c r="G191" s="6" t="s">
        <v>40</v>
      </c>
      <c r="H191" s="6">
        <v>2</v>
      </c>
      <c r="I191" s="8">
        <v>423.74</v>
      </c>
      <c r="J191" s="8">
        <v>336.78</v>
      </c>
      <c r="K191" s="6" t="s">
        <v>32</v>
      </c>
      <c r="L191" s="9">
        <f t="shared" si="14"/>
        <v>847.48</v>
      </c>
      <c r="M191" s="10">
        <f t="shared" si="15"/>
        <v>673.56</v>
      </c>
      <c r="N191" s="10">
        <f t="shared" si="16"/>
        <v>173.92000000000007</v>
      </c>
      <c r="O191" s="11">
        <f t="shared" si="17"/>
        <v>0.20522018218719035</v>
      </c>
      <c r="P191" t="str">
        <f t="shared" si="18"/>
        <v>September</v>
      </c>
      <c r="Q191" t="str">
        <f t="shared" si="19"/>
        <v>Q3</v>
      </c>
      <c r="R191" t="str">
        <f t="shared" si="20"/>
        <v>Low</v>
      </c>
    </row>
    <row r="192" spans="1:18" x14ac:dyDescent="0.3">
      <c r="A192" s="6" t="s">
        <v>351</v>
      </c>
      <c r="B192" s="7">
        <v>45686</v>
      </c>
      <c r="C192" s="6" t="s">
        <v>152</v>
      </c>
      <c r="D192" s="6" t="s">
        <v>55</v>
      </c>
      <c r="E192" s="6" t="s">
        <v>29</v>
      </c>
      <c r="F192" s="6" t="s">
        <v>50</v>
      </c>
      <c r="G192" s="6" t="s">
        <v>57</v>
      </c>
      <c r="H192" s="6">
        <v>18</v>
      </c>
      <c r="I192" s="8">
        <v>494.01</v>
      </c>
      <c r="J192" s="8">
        <v>365.13</v>
      </c>
      <c r="K192" s="6" t="s">
        <v>25</v>
      </c>
      <c r="L192" s="9">
        <f t="shared" si="14"/>
        <v>8892.18</v>
      </c>
      <c r="M192" s="10">
        <f t="shared" si="15"/>
        <v>6572.34</v>
      </c>
      <c r="N192" s="10">
        <f t="shared" si="16"/>
        <v>2319.84</v>
      </c>
      <c r="O192" s="11">
        <f t="shared" si="17"/>
        <v>0.26088540717799236</v>
      </c>
      <c r="P192" t="str">
        <f t="shared" si="18"/>
        <v>January</v>
      </c>
      <c r="Q192" t="str">
        <f t="shared" si="19"/>
        <v>Q1</v>
      </c>
      <c r="R192" t="str">
        <f t="shared" si="20"/>
        <v>Low</v>
      </c>
    </row>
    <row r="193" spans="1:18" x14ac:dyDescent="0.3">
      <c r="A193" s="6" t="s">
        <v>352</v>
      </c>
      <c r="B193" s="7">
        <v>45799</v>
      </c>
      <c r="C193" s="6" t="s">
        <v>98</v>
      </c>
      <c r="D193" s="6" t="s">
        <v>28</v>
      </c>
      <c r="E193" s="6" t="s">
        <v>22</v>
      </c>
      <c r="F193" s="6" t="s">
        <v>23</v>
      </c>
      <c r="G193" s="6" t="s">
        <v>40</v>
      </c>
      <c r="H193" s="6">
        <v>17</v>
      </c>
      <c r="I193" s="8">
        <v>1010.77</v>
      </c>
      <c r="J193" s="8">
        <v>727.18</v>
      </c>
      <c r="K193" s="6" t="s">
        <v>32</v>
      </c>
      <c r="L193" s="9">
        <f t="shared" si="14"/>
        <v>17183.09</v>
      </c>
      <c r="M193" s="10">
        <f t="shared" si="15"/>
        <v>12362.06</v>
      </c>
      <c r="N193" s="10">
        <f t="shared" si="16"/>
        <v>4821.0300000000007</v>
      </c>
      <c r="O193" s="11">
        <f t="shared" si="17"/>
        <v>0.28056827962840214</v>
      </c>
      <c r="P193" t="str">
        <f t="shared" si="18"/>
        <v>May</v>
      </c>
      <c r="Q193" t="str">
        <f t="shared" si="19"/>
        <v>Q2</v>
      </c>
      <c r="R193" t="str">
        <f t="shared" si="20"/>
        <v>High</v>
      </c>
    </row>
    <row r="194" spans="1:18" x14ac:dyDescent="0.3">
      <c r="A194" s="6" t="s">
        <v>353</v>
      </c>
      <c r="B194" s="7">
        <v>45962</v>
      </c>
      <c r="C194" s="6" t="s">
        <v>220</v>
      </c>
      <c r="D194" s="6" t="s">
        <v>55</v>
      </c>
      <c r="E194" s="6" t="s">
        <v>29</v>
      </c>
      <c r="F194" s="6" t="s">
        <v>35</v>
      </c>
      <c r="G194" s="6" t="s">
        <v>40</v>
      </c>
      <c r="H194" s="6">
        <v>5</v>
      </c>
      <c r="I194" s="8">
        <v>249.78</v>
      </c>
      <c r="J194" s="8">
        <v>144.72</v>
      </c>
      <c r="K194" s="6" t="s">
        <v>32</v>
      </c>
      <c r="L194" s="9">
        <f t="shared" si="14"/>
        <v>1248.9000000000001</v>
      </c>
      <c r="M194" s="10">
        <f t="shared" si="15"/>
        <v>723.6</v>
      </c>
      <c r="N194" s="10">
        <f t="shared" si="16"/>
        <v>525.30000000000007</v>
      </c>
      <c r="O194" s="11">
        <f t="shared" si="17"/>
        <v>0.42061013692049004</v>
      </c>
      <c r="P194" t="str">
        <f t="shared" si="18"/>
        <v>November</v>
      </c>
      <c r="Q194" t="str">
        <f t="shared" si="19"/>
        <v>Q4</v>
      </c>
      <c r="R194" t="str">
        <f t="shared" si="20"/>
        <v>Low</v>
      </c>
    </row>
    <row r="195" spans="1:18" x14ac:dyDescent="0.3">
      <c r="A195" s="6" t="s">
        <v>354</v>
      </c>
      <c r="B195" s="7">
        <v>45705</v>
      </c>
      <c r="C195" s="6" t="s">
        <v>216</v>
      </c>
      <c r="D195" s="6" t="s">
        <v>21</v>
      </c>
      <c r="E195" s="6" t="s">
        <v>22</v>
      </c>
      <c r="F195" s="6" t="s">
        <v>56</v>
      </c>
      <c r="G195" s="6" t="s">
        <v>40</v>
      </c>
      <c r="H195" s="6">
        <v>7</v>
      </c>
      <c r="I195" s="8">
        <v>1364.41</v>
      </c>
      <c r="J195" s="8">
        <v>1050.6300000000001</v>
      </c>
      <c r="K195" s="6" t="s">
        <v>32</v>
      </c>
      <c r="L195" s="9">
        <f t="shared" si="14"/>
        <v>9550.8700000000008</v>
      </c>
      <c r="M195" s="10">
        <f t="shared" si="15"/>
        <v>7354.4100000000008</v>
      </c>
      <c r="N195" s="10">
        <f t="shared" si="16"/>
        <v>2196.46</v>
      </c>
      <c r="O195" s="11">
        <f t="shared" si="17"/>
        <v>0.22997486092889965</v>
      </c>
      <c r="P195" t="str">
        <f t="shared" si="18"/>
        <v>February</v>
      </c>
      <c r="Q195" t="str">
        <f t="shared" si="19"/>
        <v>Q1</v>
      </c>
      <c r="R195" t="str">
        <f t="shared" si="20"/>
        <v>Low</v>
      </c>
    </row>
    <row r="196" spans="1:18" x14ac:dyDescent="0.3">
      <c r="A196" s="6" t="s">
        <v>355</v>
      </c>
      <c r="B196" s="7">
        <v>45681</v>
      </c>
      <c r="C196" s="6" t="s">
        <v>356</v>
      </c>
      <c r="D196" s="6" t="s">
        <v>21</v>
      </c>
      <c r="E196" s="6" t="s">
        <v>46</v>
      </c>
      <c r="F196" s="6" t="s">
        <v>47</v>
      </c>
      <c r="G196" s="6" t="s">
        <v>60</v>
      </c>
      <c r="H196" s="6">
        <v>20</v>
      </c>
      <c r="I196" s="8">
        <v>1286.8399999999999</v>
      </c>
      <c r="J196" s="8">
        <v>1076.05</v>
      </c>
      <c r="K196" s="6" t="s">
        <v>32</v>
      </c>
      <c r="L196" s="9">
        <f t="shared" si="14"/>
        <v>25736.799999999999</v>
      </c>
      <c r="M196" s="10">
        <f t="shared" si="15"/>
        <v>21521</v>
      </c>
      <c r="N196" s="10">
        <f t="shared" si="16"/>
        <v>4215.7999999999993</v>
      </c>
      <c r="O196" s="11">
        <f t="shared" si="17"/>
        <v>0.1638043579621398</v>
      </c>
      <c r="P196" t="str">
        <f t="shared" si="18"/>
        <v>January</v>
      </c>
      <c r="Q196" t="str">
        <f t="shared" si="19"/>
        <v>Q1</v>
      </c>
      <c r="R196" t="str">
        <f t="shared" si="20"/>
        <v>High</v>
      </c>
    </row>
    <row r="197" spans="1:18" x14ac:dyDescent="0.3">
      <c r="A197" s="6" t="s">
        <v>357</v>
      </c>
      <c r="B197" s="7">
        <v>45740</v>
      </c>
      <c r="C197" s="6" t="s">
        <v>37</v>
      </c>
      <c r="D197" s="6" t="s">
        <v>28</v>
      </c>
      <c r="E197" s="6" t="s">
        <v>22</v>
      </c>
      <c r="F197" s="6" t="s">
        <v>56</v>
      </c>
      <c r="G197" s="6" t="s">
        <v>40</v>
      </c>
      <c r="H197" s="6">
        <v>7</v>
      </c>
      <c r="I197" s="8">
        <v>1329.96</v>
      </c>
      <c r="J197" s="8">
        <v>687.53</v>
      </c>
      <c r="K197" s="6" t="s">
        <v>41</v>
      </c>
      <c r="L197" s="9">
        <f t="shared" si="14"/>
        <v>9309.7200000000012</v>
      </c>
      <c r="M197" s="10">
        <f t="shared" si="15"/>
        <v>4812.71</v>
      </c>
      <c r="N197" s="10">
        <f t="shared" si="16"/>
        <v>4497.0100000000011</v>
      </c>
      <c r="O197" s="11">
        <f t="shared" si="17"/>
        <v>0.4830446028451984</v>
      </c>
      <c r="P197" t="str">
        <f t="shared" si="18"/>
        <v>March</v>
      </c>
      <c r="Q197" t="str">
        <f t="shared" si="19"/>
        <v>Q1</v>
      </c>
      <c r="R197" t="str">
        <f t="shared" si="20"/>
        <v>Low</v>
      </c>
    </row>
    <row r="198" spans="1:18" x14ac:dyDescent="0.3">
      <c r="A198" s="6" t="s">
        <v>358</v>
      </c>
      <c r="B198" s="7">
        <v>45752</v>
      </c>
      <c r="C198" s="6" t="s">
        <v>147</v>
      </c>
      <c r="D198" s="6" t="s">
        <v>55</v>
      </c>
      <c r="E198" s="6" t="s">
        <v>29</v>
      </c>
      <c r="F198" s="6" t="s">
        <v>30</v>
      </c>
      <c r="G198" s="6" t="s">
        <v>31</v>
      </c>
      <c r="H198" s="6">
        <v>19</v>
      </c>
      <c r="I198" s="8">
        <v>69.2</v>
      </c>
      <c r="J198" s="8">
        <v>37.880000000000003</v>
      </c>
      <c r="K198" s="6" t="s">
        <v>25</v>
      </c>
      <c r="L198" s="9">
        <f t="shared" si="14"/>
        <v>1314.8</v>
      </c>
      <c r="M198" s="10">
        <f t="shared" si="15"/>
        <v>719.72</v>
      </c>
      <c r="N198" s="10">
        <f t="shared" si="16"/>
        <v>595.07999999999993</v>
      </c>
      <c r="O198" s="11">
        <f t="shared" si="17"/>
        <v>0.45260115606936413</v>
      </c>
      <c r="P198" t="str">
        <f t="shared" si="18"/>
        <v>April</v>
      </c>
      <c r="Q198" t="str">
        <f t="shared" si="19"/>
        <v>Q2</v>
      </c>
      <c r="R198" t="str">
        <f t="shared" si="20"/>
        <v>Low</v>
      </c>
    </row>
    <row r="199" spans="1:18" x14ac:dyDescent="0.3">
      <c r="A199" s="6" t="s">
        <v>359</v>
      </c>
      <c r="B199" s="7">
        <v>45951</v>
      </c>
      <c r="C199" s="6" t="s">
        <v>360</v>
      </c>
      <c r="D199" s="6" t="s">
        <v>55</v>
      </c>
      <c r="E199" s="6" t="s">
        <v>22</v>
      </c>
      <c r="F199" s="6" t="s">
        <v>23</v>
      </c>
      <c r="G199" s="6" t="s">
        <v>65</v>
      </c>
      <c r="H199" s="6">
        <v>9</v>
      </c>
      <c r="I199" s="8">
        <v>240.65</v>
      </c>
      <c r="J199" s="8">
        <v>170.74</v>
      </c>
      <c r="K199" s="6" t="s">
        <v>32</v>
      </c>
      <c r="L199" s="9">
        <f t="shared" ref="L199:L262" si="21">H199*I199</f>
        <v>2165.85</v>
      </c>
      <c r="M199" s="10">
        <f t="shared" ref="M199:M262" si="22">H199*J199</f>
        <v>1536.66</v>
      </c>
      <c r="N199" s="10">
        <f t="shared" ref="N199:N262" si="23">L199-M199</f>
        <v>629.18999999999983</v>
      </c>
      <c r="O199" s="11">
        <f t="shared" ref="O199:O262" si="24">N199/L199</f>
        <v>0.29050488260959895</v>
      </c>
      <c r="P199" t="str">
        <f t="shared" ref="P199:P262" si="25">TEXT(B199,"mmmm")</f>
        <v>October</v>
      </c>
      <c r="Q199" t="str">
        <f t="shared" ref="Q199:Q262" si="26">"Q"&amp;ROUNDUP(MONTH(B199)/3,0)</f>
        <v>Q4</v>
      </c>
      <c r="R199" t="str">
        <f t="shared" ref="R199:R262" si="27">IF(L199&gt;=10000,"High","Low")</f>
        <v>Low</v>
      </c>
    </row>
    <row r="200" spans="1:18" x14ac:dyDescent="0.3">
      <c r="A200" s="6" t="s">
        <v>361</v>
      </c>
      <c r="B200" s="7">
        <v>45838</v>
      </c>
      <c r="C200" s="6" t="s">
        <v>362</v>
      </c>
      <c r="D200" s="6" t="s">
        <v>55</v>
      </c>
      <c r="E200" s="6" t="s">
        <v>22</v>
      </c>
      <c r="F200" s="6" t="s">
        <v>56</v>
      </c>
      <c r="G200" s="6" t="s">
        <v>24</v>
      </c>
      <c r="H200" s="6">
        <v>3</v>
      </c>
      <c r="I200" s="8">
        <v>482.67</v>
      </c>
      <c r="J200" s="8">
        <v>396.14</v>
      </c>
      <c r="K200" s="6" t="s">
        <v>25</v>
      </c>
      <c r="L200" s="9">
        <f t="shared" si="21"/>
        <v>1448.01</v>
      </c>
      <c r="M200" s="10">
        <f t="shared" si="22"/>
        <v>1188.42</v>
      </c>
      <c r="N200" s="10">
        <f t="shared" si="23"/>
        <v>259.58999999999992</v>
      </c>
      <c r="O200" s="11">
        <f t="shared" si="24"/>
        <v>0.17927362380094056</v>
      </c>
      <c r="P200" t="str">
        <f t="shared" si="25"/>
        <v>June</v>
      </c>
      <c r="Q200" t="str">
        <f t="shared" si="26"/>
        <v>Q2</v>
      </c>
      <c r="R200" t="str">
        <f t="shared" si="27"/>
        <v>Low</v>
      </c>
    </row>
    <row r="201" spans="1:18" x14ac:dyDescent="0.3">
      <c r="A201" s="6" t="s">
        <v>363</v>
      </c>
      <c r="B201" s="7">
        <v>45920</v>
      </c>
      <c r="C201" s="6" t="s">
        <v>208</v>
      </c>
      <c r="D201" s="6" t="s">
        <v>55</v>
      </c>
      <c r="E201" s="6" t="s">
        <v>46</v>
      </c>
      <c r="F201" s="6" t="s">
        <v>47</v>
      </c>
      <c r="G201" s="6" t="s">
        <v>65</v>
      </c>
      <c r="H201" s="6">
        <v>11</v>
      </c>
      <c r="I201" s="8">
        <v>1386.92</v>
      </c>
      <c r="J201" s="8">
        <v>939.24</v>
      </c>
      <c r="K201" s="6" t="s">
        <v>32</v>
      </c>
      <c r="L201" s="9">
        <f t="shared" si="21"/>
        <v>15256.12</v>
      </c>
      <c r="M201" s="10">
        <f t="shared" si="22"/>
        <v>10331.64</v>
      </c>
      <c r="N201" s="10">
        <f t="shared" si="23"/>
        <v>4924.4800000000014</v>
      </c>
      <c r="O201" s="11">
        <f t="shared" si="24"/>
        <v>0.32278718311077792</v>
      </c>
      <c r="P201" t="str">
        <f t="shared" si="25"/>
        <v>September</v>
      </c>
      <c r="Q201" t="str">
        <f t="shared" si="26"/>
        <v>Q3</v>
      </c>
      <c r="R201" t="str">
        <f t="shared" si="27"/>
        <v>High</v>
      </c>
    </row>
    <row r="202" spans="1:18" x14ac:dyDescent="0.3">
      <c r="A202" s="6" t="s">
        <v>364</v>
      </c>
      <c r="B202" s="7">
        <v>45960</v>
      </c>
      <c r="C202" s="6" t="s">
        <v>52</v>
      </c>
      <c r="D202" s="6" t="s">
        <v>55</v>
      </c>
      <c r="E202" s="6" t="s">
        <v>29</v>
      </c>
      <c r="F202" s="6" t="s">
        <v>35</v>
      </c>
      <c r="G202" s="6" t="s">
        <v>57</v>
      </c>
      <c r="H202" s="6">
        <v>14</v>
      </c>
      <c r="I202" s="8">
        <v>97.74</v>
      </c>
      <c r="J202" s="8">
        <v>82.47</v>
      </c>
      <c r="K202" s="6" t="s">
        <v>25</v>
      </c>
      <c r="L202" s="9">
        <f t="shared" si="21"/>
        <v>1368.36</v>
      </c>
      <c r="M202" s="10">
        <f t="shared" si="22"/>
        <v>1154.58</v>
      </c>
      <c r="N202" s="10">
        <f t="shared" si="23"/>
        <v>213.77999999999997</v>
      </c>
      <c r="O202" s="11">
        <f t="shared" si="24"/>
        <v>0.15623081645181092</v>
      </c>
      <c r="P202" t="str">
        <f t="shared" si="25"/>
        <v>October</v>
      </c>
      <c r="Q202" t="str">
        <f t="shared" si="26"/>
        <v>Q4</v>
      </c>
      <c r="R202" t="str">
        <f t="shared" si="27"/>
        <v>Low</v>
      </c>
    </row>
    <row r="203" spans="1:18" x14ac:dyDescent="0.3">
      <c r="A203" s="6" t="s">
        <v>365</v>
      </c>
      <c r="B203" s="7">
        <v>45804</v>
      </c>
      <c r="C203" s="6" t="s">
        <v>75</v>
      </c>
      <c r="D203" s="6" t="s">
        <v>38</v>
      </c>
      <c r="E203" s="6" t="s">
        <v>29</v>
      </c>
      <c r="F203" s="6" t="s">
        <v>35</v>
      </c>
      <c r="G203" s="6" t="s">
        <v>60</v>
      </c>
      <c r="H203" s="6">
        <v>16</v>
      </c>
      <c r="I203" s="8">
        <v>478.4</v>
      </c>
      <c r="J203" s="8">
        <v>278.62</v>
      </c>
      <c r="K203" s="6" t="s">
        <v>32</v>
      </c>
      <c r="L203" s="9">
        <f t="shared" si="21"/>
        <v>7654.4</v>
      </c>
      <c r="M203" s="10">
        <f t="shared" si="22"/>
        <v>4457.92</v>
      </c>
      <c r="N203" s="10">
        <f t="shared" si="23"/>
        <v>3196.4799999999996</v>
      </c>
      <c r="O203" s="11">
        <f t="shared" si="24"/>
        <v>0.41760033444816047</v>
      </c>
      <c r="P203" t="str">
        <f t="shared" si="25"/>
        <v>May</v>
      </c>
      <c r="Q203" t="str">
        <f t="shared" si="26"/>
        <v>Q2</v>
      </c>
      <c r="R203" t="str">
        <f t="shared" si="27"/>
        <v>Low</v>
      </c>
    </row>
    <row r="204" spans="1:18" x14ac:dyDescent="0.3">
      <c r="A204" s="6" t="s">
        <v>366</v>
      </c>
      <c r="B204" s="7">
        <v>45883</v>
      </c>
      <c r="C204" s="6" t="s">
        <v>367</v>
      </c>
      <c r="D204" s="6" t="s">
        <v>38</v>
      </c>
      <c r="E204" s="6" t="s">
        <v>46</v>
      </c>
      <c r="F204" s="6" t="s">
        <v>47</v>
      </c>
      <c r="G204" s="6" t="s">
        <v>57</v>
      </c>
      <c r="H204" s="6">
        <v>17</v>
      </c>
      <c r="I204" s="8">
        <v>211.33</v>
      </c>
      <c r="J204" s="8">
        <v>169.58</v>
      </c>
      <c r="K204" s="6" t="s">
        <v>25</v>
      </c>
      <c r="L204" s="9">
        <f t="shared" si="21"/>
        <v>3592.61</v>
      </c>
      <c r="M204" s="10">
        <f t="shared" si="22"/>
        <v>2882.86</v>
      </c>
      <c r="N204" s="10">
        <f t="shared" si="23"/>
        <v>709.75</v>
      </c>
      <c r="O204" s="11">
        <f t="shared" si="24"/>
        <v>0.19755832110916574</v>
      </c>
      <c r="P204" t="str">
        <f t="shared" si="25"/>
        <v>August</v>
      </c>
      <c r="Q204" t="str">
        <f t="shared" si="26"/>
        <v>Q3</v>
      </c>
      <c r="R204" t="str">
        <f t="shared" si="27"/>
        <v>Low</v>
      </c>
    </row>
    <row r="205" spans="1:18" x14ac:dyDescent="0.3">
      <c r="A205" s="6" t="s">
        <v>368</v>
      </c>
      <c r="B205" s="7">
        <v>45815</v>
      </c>
      <c r="C205" s="6" t="s">
        <v>292</v>
      </c>
      <c r="D205" s="6" t="s">
        <v>38</v>
      </c>
      <c r="E205" s="6" t="s">
        <v>22</v>
      </c>
      <c r="F205" s="6" t="s">
        <v>23</v>
      </c>
      <c r="G205" s="6" t="s">
        <v>60</v>
      </c>
      <c r="H205" s="6">
        <v>4</v>
      </c>
      <c r="I205" s="8">
        <v>547.47</v>
      </c>
      <c r="J205" s="8">
        <v>279.95999999999998</v>
      </c>
      <c r="K205" s="6" t="s">
        <v>32</v>
      </c>
      <c r="L205" s="9">
        <f t="shared" si="21"/>
        <v>2189.88</v>
      </c>
      <c r="M205" s="10">
        <f t="shared" si="22"/>
        <v>1119.8399999999999</v>
      </c>
      <c r="N205" s="10">
        <f t="shared" si="23"/>
        <v>1070.0400000000002</v>
      </c>
      <c r="O205" s="11">
        <f t="shared" si="24"/>
        <v>0.48862951394596971</v>
      </c>
      <c r="P205" t="str">
        <f t="shared" si="25"/>
        <v>June</v>
      </c>
      <c r="Q205" t="str">
        <f t="shared" si="26"/>
        <v>Q2</v>
      </c>
      <c r="R205" t="str">
        <f t="shared" si="27"/>
        <v>Low</v>
      </c>
    </row>
    <row r="206" spans="1:18" x14ac:dyDescent="0.3">
      <c r="A206" s="6" t="s">
        <v>369</v>
      </c>
      <c r="B206" s="7">
        <v>45816</v>
      </c>
      <c r="C206" s="6" t="s">
        <v>370</v>
      </c>
      <c r="D206" s="6" t="s">
        <v>28</v>
      </c>
      <c r="E206" s="6" t="s">
        <v>22</v>
      </c>
      <c r="F206" s="6" t="s">
        <v>68</v>
      </c>
      <c r="G206" s="6" t="s">
        <v>24</v>
      </c>
      <c r="H206" s="6">
        <v>15</v>
      </c>
      <c r="I206" s="8">
        <v>1435.13</v>
      </c>
      <c r="J206" s="8">
        <v>918.59</v>
      </c>
      <c r="K206" s="6" t="s">
        <v>25</v>
      </c>
      <c r="L206" s="9">
        <f t="shared" si="21"/>
        <v>21526.95</v>
      </c>
      <c r="M206" s="10">
        <f t="shared" si="22"/>
        <v>13778.85</v>
      </c>
      <c r="N206" s="10">
        <f t="shared" si="23"/>
        <v>7748.1</v>
      </c>
      <c r="O206" s="11">
        <f t="shared" si="24"/>
        <v>0.35992558165462363</v>
      </c>
      <c r="P206" t="str">
        <f t="shared" si="25"/>
        <v>June</v>
      </c>
      <c r="Q206" t="str">
        <f t="shared" si="26"/>
        <v>Q2</v>
      </c>
      <c r="R206" t="str">
        <f t="shared" si="27"/>
        <v>High</v>
      </c>
    </row>
    <row r="207" spans="1:18" x14ac:dyDescent="0.3">
      <c r="A207" s="6" t="s">
        <v>371</v>
      </c>
      <c r="B207" s="7">
        <v>45832</v>
      </c>
      <c r="C207" s="6" t="s">
        <v>372</v>
      </c>
      <c r="D207" s="6" t="s">
        <v>21</v>
      </c>
      <c r="E207" s="6" t="s">
        <v>29</v>
      </c>
      <c r="F207" s="6" t="s">
        <v>35</v>
      </c>
      <c r="G207" s="6" t="s">
        <v>40</v>
      </c>
      <c r="H207" s="6">
        <v>10</v>
      </c>
      <c r="I207" s="8">
        <v>17.489999999999998</v>
      </c>
      <c r="J207" s="8">
        <v>15.61</v>
      </c>
      <c r="K207" s="6" t="s">
        <v>32</v>
      </c>
      <c r="L207" s="9">
        <f t="shared" si="21"/>
        <v>174.89999999999998</v>
      </c>
      <c r="M207" s="10">
        <f t="shared" si="22"/>
        <v>156.1</v>
      </c>
      <c r="N207" s="10">
        <f t="shared" si="23"/>
        <v>18.799999999999983</v>
      </c>
      <c r="O207" s="11">
        <f t="shared" si="24"/>
        <v>0.10748999428244703</v>
      </c>
      <c r="P207" t="str">
        <f t="shared" si="25"/>
        <v>June</v>
      </c>
      <c r="Q207" t="str">
        <f t="shared" si="26"/>
        <v>Q2</v>
      </c>
      <c r="R207" t="str">
        <f t="shared" si="27"/>
        <v>Low</v>
      </c>
    </row>
    <row r="208" spans="1:18" x14ac:dyDescent="0.3">
      <c r="A208" s="6" t="s">
        <v>373</v>
      </c>
      <c r="B208" s="7">
        <v>45743</v>
      </c>
      <c r="C208" s="6" t="s">
        <v>141</v>
      </c>
      <c r="D208" s="6" t="s">
        <v>38</v>
      </c>
      <c r="E208" s="6" t="s">
        <v>46</v>
      </c>
      <c r="F208" s="6" t="s">
        <v>80</v>
      </c>
      <c r="G208" s="6" t="s">
        <v>57</v>
      </c>
      <c r="H208" s="6">
        <v>11</v>
      </c>
      <c r="I208" s="8">
        <v>1280.6300000000001</v>
      </c>
      <c r="J208" s="8">
        <v>822.81</v>
      </c>
      <c r="K208" s="6" t="s">
        <v>25</v>
      </c>
      <c r="L208" s="9">
        <f t="shared" si="21"/>
        <v>14086.93</v>
      </c>
      <c r="M208" s="10">
        <f t="shared" si="22"/>
        <v>9050.91</v>
      </c>
      <c r="N208" s="10">
        <f t="shared" si="23"/>
        <v>5036.0200000000004</v>
      </c>
      <c r="O208" s="11">
        <f t="shared" si="24"/>
        <v>0.3574959199768864</v>
      </c>
      <c r="P208" t="str">
        <f t="shared" si="25"/>
        <v>March</v>
      </c>
      <c r="Q208" t="str">
        <f t="shared" si="26"/>
        <v>Q1</v>
      </c>
      <c r="R208" t="str">
        <f t="shared" si="27"/>
        <v>High</v>
      </c>
    </row>
    <row r="209" spans="1:18" x14ac:dyDescent="0.3">
      <c r="A209" s="6" t="s">
        <v>374</v>
      </c>
      <c r="B209" s="7">
        <v>45772</v>
      </c>
      <c r="C209" s="6" t="s">
        <v>375</v>
      </c>
      <c r="D209" s="6" t="s">
        <v>28</v>
      </c>
      <c r="E209" s="6" t="s">
        <v>22</v>
      </c>
      <c r="F209" s="6" t="s">
        <v>68</v>
      </c>
      <c r="G209" s="6" t="s">
        <v>40</v>
      </c>
      <c r="H209" s="6">
        <v>2</v>
      </c>
      <c r="I209" s="8">
        <v>471.99</v>
      </c>
      <c r="J209" s="8">
        <v>355.86</v>
      </c>
      <c r="K209" s="6" t="s">
        <v>32</v>
      </c>
      <c r="L209" s="9">
        <f t="shared" si="21"/>
        <v>943.98</v>
      </c>
      <c r="M209" s="10">
        <f t="shared" si="22"/>
        <v>711.72</v>
      </c>
      <c r="N209" s="10">
        <f t="shared" si="23"/>
        <v>232.26</v>
      </c>
      <c r="O209" s="11">
        <f t="shared" si="24"/>
        <v>0.2460433483760249</v>
      </c>
      <c r="P209" t="str">
        <f t="shared" si="25"/>
        <v>April</v>
      </c>
      <c r="Q209" t="str">
        <f t="shared" si="26"/>
        <v>Q2</v>
      </c>
      <c r="R209" t="str">
        <f t="shared" si="27"/>
        <v>Low</v>
      </c>
    </row>
    <row r="210" spans="1:18" x14ac:dyDescent="0.3">
      <c r="A210" s="6" t="s">
        <v>376</v>
      </c>
      <c r="B210" s="7">
        <v>45894</v>
      </c>
      <c r="C210" s="6" t="s">
        <v>377</v>
      </c>
      <c r="D210" s="6" t="s">
        <v>28</v>
      </c>
      <c r="E210" s="6" t="s">
        <v>22</v>
      </c>
      <c r="F210" s="6" t="s">
        <v>82</v>
      </c>
      <c r="G210" s="6" t="s">
        <v>40</v>
      </c>
      <c r="H210" s="6">
        <v>5</v>
      </c>
      <c r="I210" s="8">
        <v>270.25</v>
      </c>
      <c r="J210" s="8">
        <v>151.16999999999999</v>
      </c>
      <c r="K210" s="6" t="s">
        <v>32</v>
      </c>
      <c r="L210" s="9">
        <f t="shared" si="21"/>
        <v>1351.25</v>
      </c>
      <c r="M210" s="10">
        <f t="shared" si="22"/>
        <v>755.84999999999991</v>
      </c>
      <c r="N210" s="10">
        <f t="shared" si="23"/>
        <v>595.40000000000009</v>
      </c>
      <c r="O210" s="11">
        <f t="shared" si="24"/>
        <v>0.44062904717853846</v>
      </c>
      <c r="P210" t="str">
        <f t="shared" si="25"/>
        <v>August</v>
      </c>
      <c r="Q210" t="str">
        <f t="shared" si="26"/>
        <v>Q3</v>
      </c>
      <c r="R210" t="str">
        <f t="shared" si="27"/>
        <v>Low</v>
      </c>
    </row>
    <row r="211" spans="1:18" x14ac:dyDescent="0.3">
      <c r="A211" s="6" t="s">
        <v>378</v>
      </c>
      <c r="B211" s="7">
        <v>45761</v>
      </c>
      <c r="C211" s="6" t="s">
        <v>64</v>
      </c>
      <c r="D211" s="6" t="s">
        <v>28</v>
      </c>
      <c r="E211" s="6" t="s">
        <v>22</v>
      </c>
      <c r="F211" s="6" t="s">
        <v>23</v>
      </c>
      <c r="G211" s="6" t="s">
        <v>31</v>
      </c>
      <c r="H211" s="6">
        <v>13</v>
      </c>
      <c r="I211" s="8">
        <v>701.71</v>
      </c>
      <c r="J211" s="8">
        <v>388.87</v>
      </c>
      <c r="K211" s="6" t="s">
        <v>41</v>
      </c>
      <c r="L211" s="9">
        <f t="shared" si="21"/>
        <v>9122.23</v>
      </c>
      <c r="M211" s="10">
        <f t="shared" si="22"/>
        <v>5055.3100000000004</v>
      </c>
      <c r="N211" s="10">
        <f t="shared" si="23"/>
        <v>4066.9199999999992</v>
      </c>
      <c r="O211" s="11">
        <f t="shared" si="24"/>
        <v>0.44582519844380147</v>
      </c>
      <c r="P211" t="str">
        <f t="shared" si="25"/>
        <v>April</v>
      </c>
      <c r="Q211" t="str">
        <f t="shared" si="26"/>
        <v>Q2</v>
      </c>
      <c r="R211" t="str">
        <f t="shared" si="27"/>
        <v>Low</v>
      </c>
    </row>
    <row r="212" spans="1:18" x14ac:dyDescent="0.3">
      <c r="A212" s="6" t="s">
        <v>379</v>
      </c>
      <c r="B212" s="7">
        <v>45774</v>
      </c>
      <c r="C212" s="6" t="s">
        <v>336</v>
      </c>
      <c r="D212" s="6" t="s">
        <v>21</v>
      </c>
      <c r="E212" s="6" t="s">
        <v>22</v>
      </c>
      <c r="F212" s="6" t="s">
        <v>56</v>
      </c>
      <c r="G212" s="6" t="s">
        <v>60</v>
      </c>
      <c r="H212" s="6">
        <v>12</v>
      </c>
      <c r="I212" s="8">
        <v>1240.1300000000001</v>
      </c>
      <c r="J212" s="8">
        <v>1004.67</v>
      </c>
      <c r="K212" s="6" t="s">
        <v>41</v>
      </c>
      <c r="L212" s="9">
        <f t="shared" si="21"/>
        <v>14881.560000000001</v>
      </c>
      <c r="M212" s="10">
        <f t="shared" si="22"/>
        <v>12056.039999999999</v>
      </c>
      <c r="N212" s="10">
        <f t="shared" si="23"/>
        <v>2825.5200000000023</v>
      </c>
      <c r="O212" s="11">
        <f t="shared" si="24"/>
        <v>0.18986719134284322</v>
      </c>
      <c r="P212" t="str">
        <f t="shared" si="25"/>
        <v>April</v>
      </c>
      <c r="Q212" t="str">
        <f t="shared" si="26"/>
        <v>Q2</v>
      </c>
      <c r="R212" t="str">
        <f t="shared" si="27"/>
        <v>High</v>
      </c>
    </row>
    <row r="213" spans="1:18" x14ac:dyDescent="0.3">
      <c r="A213" s="6" t="s">
        <v>380</v>
      </c>
      <c r="B213" s="7">
        <v>45738</v>
      </c>
      <c r="C213" s="6" t="s">
        <v>381</v>
      </c>
      <c r="D213" s="6" t="s">
        <v>21</v>
      </c>
      <c r="E213" s="6" t="s">
        <v>29</v>
      </c>
      <c r="F213" s="6" t="s">
        <v>39</v>
      </c>
      <c r="G213" s="6" t="s">
        <v>40</v>
      </c>
      <c r="H213" s="6">
        <v>6</v>
      </c>
      <c r="I213" s="8">
        <v>561.47</v>
      </c>
      <c r="J213" s="8">
        <v>302.24</v>
      </c>
      <c r="K213" s="6" t="s">
        <v>41</v>
      </c>
      <c r="L213" s="9">
        <f t="shared" si="21"/>
        <v>3368.82</v>
      </c>
      <c r="M213" s="10">
        <f t="shared" si="22"/>
        <v>1813.44</v>
      </c>
      <c r="N213" s="10">
        <f t="shared" si="23"/>
        <v>1555.38</v>
      </c>
      <c r="O213" s="11">
        <f t="shared" si="24"/>
        <v>0.46169875505369834</v>
      </c>
      <c r="P213" t="str">
        <f t="shared" si="25"/>
        <v>March</v>
      </c>
      <c r="Q213" t="str">
        <f t="shared" si="26"/>
        <v>Q1</v>
      </c>
      <c r="R213" t="str">
        <f t="shared" si="27"/>
        <v>Low</v>
      </c>
    </row>
    <row r="214" spans="1:18" x14ac:dyDescent="0.3">
      <c r="A214" s="6" t="s">
        <v>382</v>
      </c>
      <c r="B214" s="7">
        <v>45950</v>
      </c>
      <c r="C214" s="6" t="s">
        <v>383</v>
      </c>
      <c r="D214" s="6" t="s">
        <v>28</v>
      </c>
      <c r="E214" s="6" t="s">
        <v>46</v>
      </c>
      <c r="F214" s="6" t="s">
        <v>47</v>
      </c>
      <c r="G214" s="6" t="s">
        <v>60</v>
      </c>
      <c r="H214" s="6">
        <v>18</v>
      </c>
      <c r="I214" s="8">
        <v>1012</v>
      </c>
      <c r="J214" s="8">
        <v>806.71</v>
      </c>
      <c r="K214" s="6" t="s">
        <v>41</v>
      </c>
      <c r="L214" s="9">
        <f t="shared" si="21"/>
        <v>18216</v>
      </c>
      <c r="M214" s="10">
        <f t="shared" si="22"/>
        <v>14520.78</v>
      </c>
      <c r="N214" s="10">
        <f t="shared" si="23"/>
        <v>3695.2199999999993</v>
      </c>
      <c r="O214" s="11">
        <f t="shared" si="24"/>
        <v>0.2028557312252964</v>
      </c>
      <c r="P214" t="str">
        <f t="shared" si="25"/>
        <v>October</v>
      </c>
      <c r="Q214" t="str">
        <f t="shared" si="26"/>
        <v>Q4</v>
      </c>
      <c r="R214" t="str">
        <f t="shared" si="27"/>
        <v>High</v>
      </c>
    </row>
    <row r="215" spans="1:18" x14ac:dyDescent="0.3">
      <c r="A215" s="6" t="s">
        <v>384</v>
      </c>
      <c r="B215" s="7">
        <v>45839</v>
      </c>
      <c r="C215" s="6" t="s">
        <v>216</v>
      </c>
      <c r="D215" s="6" t="s">
        <v>38</v>
      </c>
      <c r="E215" s="6" t="s">
        <v>22</v>
      </c>
      <c r="F215" s="6" t="s">
        <v>82</v>
      </c>
      <c r="G215" s="6" t="s">
        <v>57</v>
      </c>
      <c r="H215" s="6">
        <v>8</v>
      </c>
      <c r="I215" s="8">
        <v>461.16</v>
      </c>
      <c r="J215" s="8">
        <v>263.68</v>
      </c>
      <c r="K215" s="6" t="s">
        <v>32</v>
      </c>
      <c r="L215" s="9">
        <f t="shared" si="21"/>
        <v>3689.28</v>
      </c>
      <c r="M215" s="10">
        <f t="shared" si="22"/>
        <v>2109.44</v>
      </c>
      <c r="N215" s="10">
        <f t="shared" si="23"/>
        <v>1579.8400000000001</v>
      </c>
      <c r="O215" s="11">
        <f t="shared" si="24"/>
        <v>0.42822447740480529</v>
      </c>
      <c r="P215" t="str">
        <f t="shared" si="25"/>
        <v>July</v>
      </c>
      <c r="Q215" t="str">
        <f t="shared" si="26"/>
        <v>Q3</v>
      </c>
      <c r="R215" t="str">
        <f t="shared" si="27"/>
        <v>Low</v>
      </c>
    </row>
    <row r="216" spans="1:18" x14ac:dyDescent="0.3">
      <c r="A216" s="6" t="s">
        <v>385</v>
      </c>
      <c r="B216" s="7">
        <v>45666</v>
      </c>
      <c r="C216" s="6" t="s">
        <v>386</v>
      </c>
      <c r="D216" s="6" t="s">
        <v>38</v>
      </c>
      <c r="E216" s="6" t="s">
        <v>46</v>
      </c>
      <c r="F216" s="6" t="s">
        <v>73</v>
      </c>
      <c r="G216" s="6" t="s">
        <v>40</v>
      </c>
      <c r="H216" s="6">
        <v>12</v>
      </c>
      <c r="I216" s="8">
        <v>362.28</v>
      </c>
      <c r="J216" s="8">
        <v>182.43</v>
      </c>
      <c r="K216" s="6" t="s">
        <v>32</v>
      </c>
      <c r="L216" s="9">
        <f t="shared" si="21"/>
        <v>4347.3599999999997</v>
      </c>
      <c r="M216" s="10">
        <f t="shared" si="22"/>
        <v>2189.16</v>
      </c>
      <c r="N216" s="10">
        <f t="shared" si="23"/>
        <v>2158.1999999999998</v>
      </c>
      <c r="O216" s="11">
        <f t="shared" si="24"/>
        <v>0.49643921828420007</v>
      </c>
      <c r="P216" t="str">
        <f t="shared" si="25"/>
        <v>January</v>
      </c>
      <c r="Q216" t="str">
        <f t="shared" si="26"/>
        <v>Q1</v>
      </c>
      <c r="R216" t="str">
        <f t="shared" si="27"/>
        <v>Low</v>
      </c>
    </row>
    <row r="217" spans="1:18" x14ac:dyDescent="0.3">
      <c r="A217" s="6" t="s">
        <v>387</v>
      </c>
      <c r="B217" s="7">
        <v>45941</v>
      </c>
      <c r="C217" s="6" t="s">
        <v>235</v>
      </c>
      <c r="D217" s="6" t="s">
        <v>21</v>
      </c>
      <c r="E217" s="6" t="s">
        <v>22</v>
      </c>
      <c r="F217" s="6" t="s">
        <v>68</v>
      </c>
      <c r="G217" s="6" t="s">
        <v>57</v>
      </c>
      <c r="H217" s="6">
        <v>16</v>
      </c>
      <c r="I217" s="8">
        <v>1420.7</v>
      </c>
      <c r="J217" s="8">
        <v>1174.73</v>
      </c>
      <c r="K217" s="6" t="s">
        <v>25</v>
      </c>
      <c r="L217" s="9">
        <f t="shared" si="21"/>
        <v>22731.200000000001</v>
      </c>
      <c r="M217" s="10">
        <f t="shared" si="22"/>
        <v>18795.68</v>
      </c>
      <c r="N217" s="10">
        <f t="shared" si="23"/>
        <v>3935.5200000000004</v>
      </c>
      <c r="O217" s="11">
        <f t="shared" si="24"/>
        <v>0.17313296262405858</v>
      </c>
      <c r="P217" t="str">
        <f t="shared" si="25"/>
        <v>October</v>
      </c>
      <c r="Q217" t="str">
        <f t="shared" si="26"/>
        <v>Q4</v>
      </c>
      <c r="R217" t="str">
        <f t="shared" si="27"/>
        <v>High</v>
      </c>
    </row>
    <row r="218" spans="1:18" x14ac:dyDescent="0.3">
      <c r="A218" s="6" t="s">
        <v>388</v>
      </c>
      <c r="B218" s="7">
        <v>45841</v>
      </c>
      <c r="C218" s="6" t="s">
        <v>328</v>
      </c>
      <c r="D218" s="6" t="s">
        <v>55</v>
      </c>
      <c r="E218" s="6" t="s">
        <v>46</v>
      </c>
      <c r="F218" s="6" t="s">
        <v>80</v>
      </c>
      <c r="G218" s="6" t="s">
        <v>57</v>
      </c>
      <c r="H218" s="6">
        <v>18</v>
      </c>
      <c r="I218" s="8">
        <v>443.16</v>
      </c>
      <c r="J218" s="8">
        <v>379.88</v>
      </c>
      <c r="K218" s="6" t="s">
        <v>32</v>
      </c>
      <c r="L218" s="9">
        <f t="shared" si="21"/>
        <v>7976.88</v>
      </c>
      <c r="M218" s="10">
        <f t="shared" si="22"/>
        <v>6837.84</v>
      </c>
      <c r="N218" s="10">
        <f t="shared" si="23"/>
        <v>1139.04</v>
      </c>
      <c r="O218" s="11">
        <f t="shared" si="24"/>
        <v>0.14279267081866595</v>
      </c>
      <c r="P218" t="str">
        <f t="shared" si="25"/>
        <v>July</v>
      </c>
      <c r="Q218" t="str">
        <f t="shared" si="26"/>
        <v>Q3</v>
      </c>
      <c r="R218" t="str">
        <f t="shared" si="27"/>
        <v>Low</v>
      </c>
    </row>
    <row r="219" spans="1:18" x14ac:dyDescent="0.3">
      <c r="A219" s="6" t="s">
        <v>389</v>
      </c>
      <c r="B219" s="7">
        <v>45924</v>
      </c>
      <c r="C219" s="6" t="s">
        <v>390</v>
      </c>
      <c r="D219" s="6" t="s">
        <v>55</v>
      </c>
      <c r="E219" s="6" t="s">
        <v>22</v>
      </c>
      <c r="F219" s="6" t="s">
        <v>68</v>
      </c>
      <c r="G219" s="6" t="s">
        <v>40</v>
      </c>
      <c r="H219" s="6">
        <v>7</v>
      </c>
      <c r="I219" s="8">
        <v>1407.93</v>
      </c>
      <c r="J219" s="8">
        <v>859.28</v>
      </c>
      <c r="K219" s="6" t="s">
        <v>41</v>
      </c>
      <c r="L219" s="9">
        <f t="shared" si="21"/>
        <v>9855.51</v>
      </c>
      <c r="M219" s="10">
        <f t="shared" si="22"/>
        <v>6014.96</v>
      </c>
      <c r="N219" s="10">
        <f t="shared" si="23"/>
        <v>3840.55</v>
      </c>
      <c r="O219" s="11">
        <f t="shared" si="24"/>
        <v>0.38968556675402899</v>
      </c>
      <c r="P219" t="str">
        <f t="shared" si="25"/>
        <v>September</v>
      </c>
      <c r="Q219" t="str">
        <f t="shared" si="26"/>
        <v>Q3</v>
      </c>
      <c r="R219" t="str">
        <f t="shared" si="27"/>
        <v>Low</v>
      </c>
    </row>
    <row r="220" spans="1:18" x14ac:dyDescent="0.3">
      <c r="A220" s="6" t="s">
        <v>391</v>
      </c>
      <c r="B220" s="7">
        <v>45723</v>
      </c>
      <c r="C220" s="6" t="s">
        <v>392</v>
      </c>
      <c r="D220" s="6" t="s">
        <v>38</v>
      </c>
      <c r="E220" s="6" t="s">
        <v>29</v>
      </c>
      <c r="F220" s="6" t="s">
        <v>30</v>
      </c>
      <c r="G220" s="6" t="s">
        <v>24</v>
      </c>
      <c r="H220" s="6">
        <v>4</v>
      </c>
      <c r="I220" s="8">
        <v>295.76</v>
      </c>
      <c r="J220" s="8">
        <v>175.74</v>
      </c>
      <c r="K220" s="6" t="s">
        <v>32</v>
      </c>
      <c r="L220" s="9">
        <f t="shared" si="21"/>
        <v>1183.04</v>
      </c>
      <c r="M220" s="10">
        <f t="shared" si="22"/>
        <v>702.96</v>
      </c>
      <c r="N220" s="10">
        <f t="shared" si="23"/>
        <v>480.07999999999993</v>
      </c>
      <c r="O220" s="11">
        <f t="shared" si="24"/>
        <v>0.40580200162293745</v>
      </c>
      <c r="P220" t="str">
        <f t="shared" si="25"/>
        <v>March</v>
      </c>
      <c r="Q220" t="str">
        <f t="shared" si="26"/>
        <v>Q1</v>
      </c>
      <c r="R220" t="str">
        <f t="shared" si="27"/>
        <v>Low</v>
      </c>
    </row>
    <row r="221" spans="1:18" x14ac:dyDescent="0.3">
      <c r="A221" s="6" t="s">
        <v>393</v>
      </c>
      <c r="B221" s="7">
        <v>45746</v>
      </c>
      <c r="C221" s="6" t="s">
        <v>257</v>
      </c>
      <c r="D221" s="6" t="s">
        <v>21</v>
      </c>
      <c r="E221" s="6" t="s">
        <v>22</v>
      </c>
      <c r="F221" s="6" t="s">
        <v>56</v>
      </c>
      <c r="G221" s="6" t="s">
        <v>57</v>
      </c>
      <c r="H221" s="6">
        <v>18</v>
      </c>
      <c r="I221" s="8">
        <v>45.23</v>
      </c>
      <c r="J221" s="8">
        <v>24.28</v>
      </c>
      <c r="K221" s="6" t="s">
        <v>25</v>
      </c>
      <c r="L221" s="9">
        <f t="shared" si="21"/>
        <v>814.14</v>
      </c>
      <c r="M221" s="10">
        <f t="shared" si="22"/>
        <v>437.04</v>
      </c>
      <c r="N221" s="10">
        <f t="shared" si="23"/>
        <v>377.09999999999997</v>
      </c>
      <c r="O221" s="11">
        <f t="shared" si="24"/>
        <v>0.46318814945832409</v>
      </c>
      <c r="P221" t="str">
        <f t="shared" si="25"/>
        <v>March</v>
      </c>
      <c r="Q221" t="str">
        <f t="shared" si="26"/>
        <v>Q1</v>
      </c>
      <c r="R221" t="str">
        <f t="shared" si="27"/>
        <v>Low</v>
      </c>
    </row>
    <row r="222" spans="1:18" x14ac:dyDescent="0.3">
      <c r="A222" s="6" t="s">
        <v>394</v>
      </c>
      <c r="B222" s="7">
        <v>45849</v>
      </c>
      <c r="C222" s="6" t="s">
        <v>395</v>
      </c>
      <c r="D222" s="6" t="s">
        <v>21</v>
      </c>
      <c r="E222" s="6" t="s">
        <v>46</v>
      </c>
      <c r="F222" s="6" t="s">
        <v>47</v>
      </c>
      <c r="G222" s="6" t="s">
        <v>24</v>
      </c>
      <c r="H222" s="6">
        <v>1</v>
      </c>
      <c r="I222" s="8">
        <v>10</v>
      </c>
      <c r="J222" s="8">
        <v>6.56</v>
      </c>
      <c r="K222" s="6" t="s">
        <v>41</v>
      </c>
      <c r="L222" s="9">
        <f t="shared" si="21"/>
        <v>10</v>
      </c>
      <c r="M222" s="10">
        <f t="shared" si="22"/>
        <v>6.56</v>
      </c>
      <c r="N222" s="10">
        <f t="shared" si="23"/>
        <v>3.4400000000000004</v>
      </c>
      <c r="O222" s="11">
        <f t="shared" si="24"/>
        <v>0.34400000000000003</v>
      </c>
      <c r="P222" t="str">
        <f t="shared" si="25"/>
        <v>July</v>
      </c>
      <c r="Q222" t="str">
        <f t="shared" si="26"/>
        <v>Q3</v>
      </c>
      <c r="R222" t="str">
        <f t="shared" si="27"/>
        <v>Low</v>
      </c>
    </row>
    <row r="223" spans="1:18" x14ac:dyDescent="0.3">
      <c r="A223" s="6" t="s">
        <v>396</v>
      </c>
      <c r="B223" s="7">
        <v>45856</v>
      </c>
      <c r="C223" s="6" t="s">
        <v>397</v>
      </c>
      <c r="D223" s="6" t="s">
        <v>38</v>
      </c>
      <c r="E223" s="6" t="s">
        <v>46</v>
      </c>
      <c r="F223" s="6" t="s">
        <v>85</v>
      </c>
      <c r="G223" s="6" t="s">
        <v>60</v>
      </c>
      <c r="H223" s="6">
        <v>10</v>
      </c>
      <c r="I223" s="8">
        <v>1438.35</v>
      </c>
      <c r="J223" s="8">
        <v>868.63</v>
      </c>
      <c r="K223" s="6" t="s">
        <v>41</v>
      </c>
      <c r="L223" s="9">
        <f t="shared" si="21"/>
        <v>14383.5</v>
      </c>
      <c r="M223" s="10">
        <f t="shared" si="22"/>
        <v>8686.2999999999993</v>
      </c>
      <c r="N223" s="10">
        <f t="shared" si="23"/>
        <v>5697.2000000000007</v>
      </c>
      <c r="O223" s="11">
        <f t="shared" si="24"/>
        <v>0.39609274515938409</v>
      </c>
      <c r="P223" t="str">
        <f t="shared" si="25"/>
        <v>July</v>
      </c>
      <c r="Q223" t="str">
        <f t="shared" si="26"/>
        <v>Q3</v>
      </c>
      <c r="R223" t="str">
        <f t="shared" si="27"/>
        <v>High</v>
      </c>
    </row>
    <row r="224" spans="1:18" x14ac:dyDescent="0.3">
      <c r="A224" s="6" t="s">
        <v>398</v>
      </c>
      <c r="B224" s="7">
        <v>45894</v>
      </c>
      <c r="C224" s="6" t="s">
        <v>399</v>
      </c>
      <c r="D224" s="6" t="s">
        <v>21</v>
      </c>
      <c r="E224" s="6" t="s">
        <v>29</v>
      </c>
      <c r="F224" s="6" t="s">
        <v>35</v>
      </c>
      <c r="G224" s="6" t="s">
        <v>65</v>
      </c>
      <c r="H224" s="6">
        <v>18</v>
      </c>
      <c r="I224" s="8">
        <v>265.37</v>
      </c>
      <c r="J224" s="8">
        <v>218.94</v>
      </c>
      <c r="K224" s="6" t="s">
        <v>25</v>
      </c>
      <c r="L224" s="9">
        <f t="shared" si="21"/>
        <v>4776.66</v>
      </c>
      <c r="M224" s="10">
        <f t="shared" si="22"/>
        <v>3940.92</v>
      </c>
      <c r="N224" s="10">
        <f t="shared" si="23"/>
        <v>835.73999999999978</v>
      </c>
      <c r="O224" s="11">
        <f t="shared" si="24"/>
        <v>0.17496325884613931</v>
      </c>
      <c r="P224" t="str">
        <f t="shared" si="25"/>
        <v>August</v>
      </c>
      <c r="Q224" t="str">
        <f t="shared" si="26"/>
        <v>Q3</v>
      </c>
      <c r="R224" t="str">
        <f t="shared" si="27"/>
        <v>Low</v>
      </c>
    </row>
    <row r="225" spans="1:18" x14ac:dyDescent="0.3">
      <c r="A225" s="6" t="s">
        <v>400</v>
      </c>
      <c r="B225" s="7">
        <v>45754</v>
      </c>
      <c r="C225" s="6" t="s">
        <v>401</v>
      </c>
      <c r="D225" s="6" t="s">
        <v>55</v>
      </c>
      <c r="E225" s="6" t="s">
        <v>29</v>
      </c>
      <c r="F225" s="6" t="s">
        <v>50</v>
      </c>
      <c r="G225" s="6" t="s">
        <v>60</v>
      </c>
      <c r="H225" s="6">
        <v>16</v>
      </c>
      <c r="I225" s="8">
        <v>596.49</v>
      </c>
      <c r="J225" s="8">
        <v>401.2</v>
      </c>
      <c r="K225" s="6" t="s">
        <v>41</v>
      </c>
      <c r="L225" s="9">
        <f t="shared" si="21"/>
        <v>9543.84</v>
      </c>
      <c r="M225" s="10">
        <f t="shared" si="22"/>
        <v>6419.2</v>
      </c>
      <c r="N225" s="10">
        <f t="shared" si="23"/>
        <v>3124.6400000000003</v>
      </c>
      <c r="O225" s="11">
        <f t="shared" si="24"/>
        <v>0.32739861523244318</v>
      </c>
      <c r="P225" t="str">
        <f t="shared" si="25"/>
        <v>April</v>
      </c>
      <c r="Q225" t="str">
        <f t="shared" si="26"/>
        <v>Q2</v>
      </c>
      <c r="R225" t="str">
        <f t="shared" si="27"/>
        <v>Low</v>
      </c>
    </row>
    <row r="226" spans="1:18" x14ac:dyDescent="0.3">
      <c r="A226" s="6" t="s">
        <v>402</v>
      </c>
      <c r="B226" s="7">
        <v>45786</v>
      </c>
      <c r="C226" s="6" t="s">
        <v>152</v>
      </c>
      <c r="D226" s="6" t="s">
        <v>21</v>
      </c>
      <c r="E226" s="6" t="s">
        <v>46</v>
      </c>
      <c r="F226" s="6" t="s">
        <v>85</v>
      </c>
      <c r="G226" s="6" t="s">
        <v>60</v>
      </c>
      <c r="H226" s="6">
        <v>17</v>
      </c>
      <c r="I226" s="8">
        <v>345.55</v>
      </c>
      <c r="J226" s="8">
        <v>263.77999999999997</v>
      </c>
      <c r="K226" s="6" t="s">
        <v>32</v>
      </c>
      <c r="L226" s="9">
        <f t="shared" si="21"/>
        <v>5874.35</v>
      </c>
      <c r="M226" s="10">
        <f t="shared" si="22"/>
        <v>4484.2599999999993</v>
      </c>
      <c r="N226" s="10">
        <f t="shared" si="23"/>
        <v>1390.0900000000011</v>
      </c>
      <c r="O226" s="11">
        <f t="shared" si="24"/>
        <v>0.23663724497178429</v>
      </c>
      <c r="P226" t="str">
        <f t="shared" si="25"/>
        <v>May</v>
      </c>
      <c r="Q226" t="str">
        <f t="shared" si="26"/>
        <v>Q2</v>
      </c>
      <c r="R226" t="str">
        <f t="shared" si="27"/>
        <v>Low</v>
      </c>
    </row>
    <row r="227" spans="1:18" x14ac:dyDescent="0.3">
      <c r="A227" s="6" t="s">
        <v>403</v>
      </c>
      <c r="B227" s="7">
        <v>45995</v>
      </c>
      <c r="C227" s="6" t="s">
        <v>152</v>
      </c>
      <c r="D227" s="6" t="s">
        <v>38</v>
      </c>
      <c r="E227" s="6" t="s">
        <v>22</v>
      </c>
      <c r="F227" s="6" t="s">
        <v>68</v>
      </c>
      <c r="G227" s="6" t="s">
        <v>24</v>
      </c>
      <c r="H227" s="6">
        <v>10</v>
      </c>
      <c r="I227" s="8">
        <v>1223.19</v>
      </c>
      <c r="J227" s="8">
        <v>615.23</v>
      </c>
      <c r="K227" s="6" t="s">
        <v>25</v>
      </c>
      <c r="L227" s="9">
        <f t="shared" si="21"/>
        <v>12231.900000000001</v>
      </c>
      <c r="M227" s="10">
        <f t="shared" si="22"/>
        <v>6152.3</v>
      </c>
      <c r="N227" s="10">
        <f t="shared" si="23"/>
        <v>6079.6000000000013</v>
      </c>
      <c r="O227" s="11">
        <f t="shared" si="24"/>
        <v>0.49702826216695695</v>
      </c>
      <c r="P227" t="str">
        <f t="shared" si="25"/>
        <v>December</v>
      </c>
      <c r="Q227" t="str">
        <f t="shared" si="26"/>
        <v>Q4</v>
      </c>
      <c r="R227" t="str">
        <f t="shared" si="27"/>
        <v>High</v>
      </c>
    </row>
    <row r="228" spans="1:18" x14ac:dyDescent="0.3">
      <c r="A228" s="6" t="s">
        <v>404</v>
      </c>
      <c r="B228" s="7">
        <v>45758</v>
      </c>
      <c r="C228" s="6" t="s">
        <v>341</v>
      </c>
      <c r="D228" s="6" t="s">
        <v>28</v>
      </c>
      <c r="E228" s="6" t="s">
        <v>29</v>
      </c>
      <c r="F228" s="6" t="s">
        <v>50</v>
      </c>
      <c r="G228" s="6" t="s">
        <v>60</v>
      </c>
      <c r="H228" s="6">
        <v>8</v>
      </c>
      <c r="I228" s="8">
        <v>1301.6600000000001</v>
      </c>
      <c r="J228" s="8">
        <v>724.87</v>
      </c>
      <c r="K228" s="6" t="s">
        <v>25</v>
      </c>
      <c r="L228" s="9">
        <f t="shared" si="21"/>
        <v>10413.280000000001</v>
      </c>
      <c r="M228" s="10">
        <f t="shared" si="22"/>
        <v>5798.96</v>
      </c>
      <c r="N228" s="10">
        <f t="shared" si="23"/>
        <v>4614.3200000000006</v>
      </c>
      <c r="O228" s="11">
        <f t="shared" si="24"/>
        <v>0.44311878677995792</v>
      </c>
      <c r="P228" t="str">
        <f t="shared" si="25"/>
        <v>April</v>
      </c>
      <c r="Q228" t="str">
        <f t="shared" si="26"/>
        <v>Q2</v>
      </c>
      <c r="R228" t="str">
        <f t="shared" si="27"/>
        <v>High</v>
      </c>
    </row>
    <row r="229" spans="1:18" x14ac:dyDescent="0.3">
      <c r="A229" s="6" t="s">
        <v>405</v>
      </c>
      <c r="B229" s="7">
        <v>45789</v>
      </c>
      <c r="C229" s="6" t="s">
        <v>253</v>
      </c>
      <c r="D229" s="6" t="s">
        <v>21</v>
      </c>
      <c r="E229" s="6" t="s">
        <v>46</v>
      </c>
      <c r="F229" s="6" t="s">
        <v>85</v>
      </c>
      <c r="G229" s="6" t="s">
        <v>24</v>
      </c>
      <c r="H229" s="6">
        <v>10</v>
      </c>
      <c r="I229" s="8">
        <v>1406.8</v>
      </c>
      <c r="J229" s="8">
        <v>1117.76</v>
      </c>
      <c r="K229" s="6" t="s">
        <v>32</v>
      </c>
      <c r="L229" s="9">
        <f t="shared" si="21"/>
        <v>14068</v>
      </c>
      <c r="M229" s="10">
        <f t="shared" si="22"/>
        <v>11177.6</v>
      </c>
      <c r="N229" s="10">
        <f t="shared" si="23"/>
        <v>2890.3999999999996</v>
      </c>
      <c r="O229" s="11">
        <f t="shared" si="24"/>
        <v>0.20545919818026726</v>
      </c>
      <c r="P229" t="str">
        <f t="shared" si="25"/>
        <v>May</v>
      </c>
      <c r="Q229" t="str">
        <f t="shared" si="26"/>
        <v>Q2</v>
      </c>
      <c r="R229" t="str">
        <f t="shared" si="27"/>
        <v>High</v>
      </c>
    </row>
    <row r="230" spans="1:18" x14ac:dyDescent="0.3">
      <c r="A230" s="6" t="s">
        <v>406</v>
      </c>
      <c r="B230" s="7">
        <v>45862</v>
      </c>
      <c r="C230" s="6" t="s">
        <v>90</v>
      </c>
      <c r="D230" s="6" t="s">
        <v>28</v>
      </c>
      <c r="E230" s="6" t="s">
        <v>22</v>
      </c>
      <c r="F230" s="6" t="s">
        <v>82</v>
      </c>
      <c r="G230" s="6" t="s">
        <v>31</v>
      </c>
      <c r="H230" s="6">
        <v>2</v>
      </c>
      <c r="I230" s="8">
        <v>420.45</v>
      </c>
      <c r="J230" s="8">
        <v>280.70999999999998</v>
      </c>
      <c r="K230" s="6" t="s">
        <v>41</v>
      </c>
      <c r="L230" s="9">
        <f t="shared" si="21"/>
        <v>840.9</v>
      </c>
      <c r="M230" s="10">
        <f t="shared" si="22"/>
        <v>561.41999999999996</v>
      </c>
      <c r="N230" s="10">
        <f t="shared" si="23"/>
        <v>279.48</v>
      </c>
      <c r="O230" s="11">
        <f t="shared" si="24"/>
        <v>0.33235818765608283</v>
      </c>
      <c r="P230" t="str">
        <f t="shared" si="25"/>
        <v>July</v>
      </c>
      <c r="Q230" t="str">
        <f t="shared" si="26"/>
        <v>Q3</v>
      </c>
      <c r="R230" t="str">
        <f t="shared" si="27"/>
        <v>Low</v>
      </c>
    </row>
    <row r="231" spans="1:18" x14ac:dyDescent="0.3">
      <c r="A231" s="6" t="s">
        <v>407</v>
      </c>
      <c r="B231" s="7">
        <v>45922</v>
      </c>
      <c r="C231" s="6" t="s">
        <v>259</v>
      </c>
      <c r="D231" s="6" t="s">
        <v>55</v>
      </c>
      <c r="E231" s="6" t="s">
        <v>29</v>
      </c>
      <c r="F231" s="6" t="s">
        <v>35</v>
      </c>
      <c r="G231" s="6" t="s">
        <v>24</v>
      </c>
      <c r="H231" s="6">
        <v>6</v>
      </c>
      <c r="I231" s="8">
        <v>185.36</v>
      </c>
      <c r="J231" s="8">
        <v>149.54</v>
      </c>
      <c r="K231" s="6" t="s">
        <v>25</v>
      </c>
      <c r="L231" s="9">
        <f t="shared" si="21"/>
        <v>1112.1600000000001</v>
      </c>
      <c r="M231" s="10">
        <f t="shared" si="22"/>
        <v>897.24</v>
      </c>
      <c r="N231" s="10">
        <f t="shared" si="23"/>
        <v>214.92000000000007</v>
      </c>
      <c r="O231" s="11">
        <f t="shared" si="24"/>
        <v>0.19324557617608981</v>
      </c>
      <c r="P231" t="str">
        <f t="shared" si="25"/>
        <v>September</v>
      </c>
      <c r="Q231" t="str">
        <f t="shared" si="26"/>
        <v>Q3</v>
      </c>
      <c r="R231" t="str">
        <f t="shared" si="27"/>
        <v>Low</v>
      </c>
    </row>
    <row r="232" spans="1:18" x14ac:dyDescent="0.3">
      <c r="A232" s="6" t="s">
        <v>408</v>
      </c>
      <c r="B232" s="7">
        <v>45822</v>
      </c>
      <c r="C232" s="6" t="s">
        <v>92</v>
      </c>
      <c r="D232" s="6" t="s">
        <v>28</v>
      </c>
      <c r="E232" s="6" t="s">
        <v>22</v>
      </c>
      <c r="F232" s="6" t="s">
        <v>68</v>
      </c>
      <c r="G232" s="6" t="s">
        <v>31</v>
      </c>
      <c r="H232" s="6">
        <v>17</v>
      </c>
      <c r="I232" s="8">
        <v>1261.6199999999999</v>
      </c>
      <c r="J232" s="8">
        <v>684.85</v>
      </c>
      <c r="K232" s="6" t="s">
        <v>25</v>
      </c>
      <c r="L232" s="9">
        <f t="shared" si="21"/>
        <v>21447.539999999997</v>
      </c>
      <c r="M232" s="10">
        <f t="shared" si="22"/>
        <v>11642.45</v>
      </c>
      <c r="N232" s="10">
        <f t="shared" si="23"/>
        <v>9805.0899999999965</v>
      </c>
      <c r="O232" s="11">
        <f t="shared" si="24"/>
        <v>0.45716618316133217</v>
      </c>
      <c r="P232" t="str">
        <f t="shared" si="25"/>
        <v>June</v>
      </c>
      <c r="Q232" t="str">
        <f t="shared" si="26"/>
        <v>Q2</v>
      </c>
      <c r="R232" t="str">
        <f t="shared" si="27"/>
        <v>High</v>
      </c>
    </row>
    <row r="233" spans="1:18" x14ac:dyDescent="0.3">
      <c r="A233" s="6" t="s">
        <v>409</v>
      </c>
      <c r="B233" s="7">
        <v>45748</v>
      </c>
      <c r="C233" s="6" t="s">
        <v>305</v>
      </c>
      <c r="D233" s="6" t="s">
        <v>38</v>
      </c>
      <c r="E233" s="6" t="s">
        <v>22</v>
      </c>
      <c r="F233" s="6" t="s">
        <v>23</v>
      </c>
      <c r="G233" s="6" t="s">
        <v>24</v>
      </c>
      <c r="H233" s="6">
        <v>3</v>
      </c>
      <c r="I233" s="8">
        <v>482.84</v>
      </c>
      <c r="J233" s="8">
        <v>409.08</v>
      </c>
      <c r="K233" s="6" t="s">
        <v>25</v>
      </c>
      <c r="L233" s="9">
        <f t="shared" si="21"/>
        <v>1448.52</v>
      </c>
      <c r="M233" s="10">
        <f t="shared" si="22"/>
        <v>1227.24</v>
      </c>
      <c r="N233" s="10">
        <f t="shared" si="23"/>
        <v>221.27999999999997</v>
      </c>
      <c r="O233" s="11">
        <f t="shared" si="24"/>
        <v>0.15276281998177449</v>
      </c>
      <c r="P233" t="str">
        <f t="shared" si="25"/>
        <v>April</v>
      </c>
      <c r="Q233" t="str">
        <f t="shared" si="26"/>
        <v>Q2</v>
      </c>
      <c r="R233" t="str">
        <f t="shared" si="27"/>
        <v>Low</v>
      </c>
    </row>
    <row r="234" spans="1:18" x14ac:dyDescent="0.3">
      <c r="A234" s="6" t="s">
        <v>410</v>
      </c>
      <c r="B234" s="7">
        <v>45808</v>
      </c>
      <c r="C234" s="6" t="s">
        <v>411</v>
      </c>
      <c r="D234" s="6" t="s">
        <v>28</v>
      </c>
      <c r="E234" s="6" t="s">
        <v>29</v>
      </c>
      <c r="F234" s="6" t="s">
        <v>35</v>
      </c>
      <c r="G234" s="6" t="s">
        <v>57</v>
      </c>
      <c r="H234" s="6">
        <v>12</v>
      </c>
      <c r="I234" s="8">
        <v>596.98</v>
      </c>
      <c r="J234" s="8">
        <v>393.87</v>
      </c>
      <c r="K234" s="6" t="s">
        <v>25</v>
      </c>
      <c r="L234" s="9">
        <f t="shared" si="21"/>
        <v>7163.76</v>
      </c>
      <c r="M234" s="10">
        <f t="shared" si="22"/>
        <v>4726.4400000000005</v>
      </c>
      <c r="N234" s="10">
        <f t="shared" si="23"/>
        <v>2437.3199999999997</v>
      </c>
      <c r="O234" s="11">
        <f t="shared" si="24"/>
        <v>0.34022915340547416</v>
      </c>
      <c r="P234" t="str">
        <f t="shared" si="25"/>
        <v>May</v>
      </c>
      <c r="Q234" t="str">
        <f t="shared" si="26"/>
        <v>Q2</v>
      </c>
      <c r="R234" t="str">
        <f t="shared" si="27"/>
        <v>Low</v>
      </c>
    </row>
    <row r="235" spans="1:18" x14ac:dyDescent="0.3">
      <c r="A235" s="6" t="s">
        <v>412</v>
      </c>
      <c r="B235" s="7">
        <v>45937</v>
      </c>
      <c r="C235" s="6" t="s">
        <v>283</v>
      </c>
      <c r="D235" s="6" t="s">
        <v>28</v>
      </c>
      <c r="E235" s="6" t="s">
        <v>22</v>
      </c>
      <c r="F235" s="6" t="s">
        <v>23</v>
      </c>
      <c r="G235" s="6" t="s">
        <v>57</v>
      </c>
      <c r="H235" s="6">
        <v>3</v>
      </c>
      <c r="I235" s="8">
        <v>1312.3</v>
      </c>
      <c r="J235" s="8">
        <v>982.39</v>
      </c>
      <c r="K235" s="6" t="s">
        <v>25</v>
      </c>
      <c r="L235" s="9">
        <f t="shared" si="21"/>
        <v>3936.8999999999996</v>
      </c>
      <c r="M235" s="10">
        <f t="shared" si="22"/>
        <v>2947.17</v>
      </c>
      <c r="N235" s="10">
        <f t="shared" si="23"/>
        <v>989.72999999999956</v>
      </c>
      <c r="O235" s="11">
        <f t="shared" si="24"/>
        <v>0.25139830831364773</v>
      </c>
      <c r="P235" t="str">
        <f t="shared" si="25"/>
        <v>October</v>
      </c>
      <c r="Q235" t="str">
        <f t="shared" si="26"/>
        <v>Q4</v>
      </c>
      <c r="R235" t="str">
        <f t="shared" si="27"/>
        <v>Low</v>
      </c>
    </row>
    <row r="236" spans="1:18" x14ac:dyDescent="0.3">
      <c r="A236" s="6" t="s">
        <v>413</v>
      </c>
      <c r="B236" s="7">
        <v>45956</v>
      </c>
      <c r="C236" s="6" t="s">
        <v>414</v>
      </c>
      <c r="D236" s="6" t="s">
        <v>38</v>
      </c>
      <c r="E236" s="6" t="s">
        <v>29</v>
      </c>
      <c r="F236" s="6" t="s">
        <v>39</v>
      </c>
      <c r="G236" s="6" t="s">
        <v>24</v>
      </c>
      <c r="H236" s="6">
        <v>14</v>
      </c>
      <c r="I236" s="8">
        <v>633.35</v>
      </c>
      <c r="J236" s="8">
        <v>490.62</v>
      </c>
      <c r="K236" s="6" t="s">
        <v>25</v>
      </c>
      <c r="L236" s="9">
        <f t="shared" si="21"/>
        <v>8866.9</v>
      </c>
      <c r="M236" s="10">
        <f t="shared" si="22"/>
        <v>6868.68</v>
      </c>
      <c r="N236" s="10">
        <f t="shared" si="23"/>
        <v>1998.2199999999993</v>
      </c>
      <c r="O236" s="11">
        <f t="shared" si="24"/>
        <v>0.22535722744138306</v>
      </c>
      <c r="P236" t="str">
        <f t="shared" si="25"/>
        <v>October</v>
      </c>
      <c r="Q236" t="str">
        <f t="shared" si="26"/>
        <v>Q4</v>
      </c>
      <c r="R236" t="str">
        <f t="shared" si="27"/>
        <v>Low</v>
      </c>
    </row>
    <row r="237" spans="1:18" x14ac:dyDescent="0.3">
      <c r="A237" s="6" t="s">
        <v>415</v>
      </c>
      <c r="B237" s="7">
        <v>45682</v>
      </c>
      <c r="C237" s="6" t="s">
        <v>138</v>
      </c>
      <c r="D237" s="6" t="s">
        <v>28</v>
      </c>
      <c r="E237" s="6" t="s">
        <v>29</v>
      </c>
      <c r="F237" s="6" t="s">
        <v>30</v>
      </c>
      <c r="G237" s="6" t="s">
        <v>57</v>
      </c>
      <c r="H237" s="6">
        <v>5</v>
      </c>
      <c r="I237" s="8">
        <v>1382.28</v>
      </c>
      <c r="J237" s="8">
        <v>1238.78</v>
      </c>
      <c r="K237" s="6" t="s">
        <v>25</v>
      </c>
      <c r="L237" s="9">
        <f t="shared" si="21"/>
        <v>6911.4</v>
      </c>
      <c r="M237" s="10">
        <f t="shared" si="22"/>
        <v>6193.9</v>
      </c>
      <c r="N237" s="10">
        <f t="shared" si="23"/>
        <v>717.5</v>
      </c>
      <c r="O237" s="11">
        <f t="shared" si="24"/>
        <v>0.10381398848279655</v>
      </c>
      <c r="P237" t="str">
        <f t="shared" si="25"/>
        <v>January</v>
      </c>
      <c r="Q237" t="str">
        <f t="shared" si="26"/>
        <v>Q1</v>
      </c>
      <c r="R237" t="str">
        <f t="shared" si="27"/>
        <v>Low</v>
      </c>
    </row>
    <row r="238" spans="1:18" x14ac:dyDescent="0.3">
      <c r="A238" s="6" t="s">
        <v>416</v>
      </c>
      <c r="B238" s="7">
        <v>45773</v>
      </c>
      <c r="C238" s="6" t="s">
        <v>417</v>
      </c>
      <c r="D238" s="6" t="s">
        <v>21</v>
      </c>
      <c r="E238" s="6" t="s">
        <v>22</v>
      </c>
      <c r="F238" s="6" t="s">
        <v>82</v>
      </c>
      <c r="G238" s="6" t="s">
        <v>57</v>
      </c>
      <c r="H238" s="6">
        <v>19</v>
      </c>
      <c r="I238" s="8">
        <v>1025.8499999999999</v>
      </c>
      <c r="J238" s="8">
        <v>810.31</v>
      </c>
      <c r="K238" s="6" t="s">
        <v>32</v>
      </c>
      <c r="L238" s="9">
        <f t="shared" si="21"/>
        <v>19491.149999999998</v>
      </c>
      <c r="M238" s="10">
        <f t="shared" si="22"/>
        <v>15395.89</v>
      </c>
      <c r="N238" s="10">
        <f t="shared" si="23"/>
        <v>4095.2599999999984</v>
      </c>
      <c r="O238" s="11">
        <f t="shared" si="24"/>
        <v>0.21010869035434024</v>
      </c>
      <c r="P238" t="str">
        <f t="shared" si="25"/>
        <v>April</v>
      </c>
      <c r="Q238" t="str">
        <f t="shared" si="26"/>
        <v>Q2</v>
      </c>
      <c r="R238" t="str">
        <f t="shared" si="27"/>
        <v>High</v>
      </c>
    </row>
    <row r="239" spans="1:18" x14ac:dyDescent="0.3">
      <c r="A239" s="6" t="s">
        <v>418</v>
      </c>
      <c r="B239" s="7">
        <v>45813</v>
      </c>
      <c r="C239" s="6" t="s">
        <v>395</v>
      </c>
      <c r="D239" s="6" t="s">
        <v>55</v>
      </c>
      <c r="E239" s="6" t="s">
        <v>22</v>
      </c>
      <c r="F239" s="6" t="s">
        <v>23</v>
      </c>
      <c r="G239" s="6" t="s">
        <v>40</v>
      </c>
      <c r="H239" s="6">
        <v>2</v>
      </c>
      <c r="I239" s="8">
        <v>1436.4</v>
      </c>
      <c r="J239" s="8">
        <v>1274.58</v>
      </c>
      <c r="K239" s="6" t="s">
        <v>41</v>
      </c>
      <c r="L239" s="9">
        <f t="shared" si="21"/>
        <v>2872.8</v>
      </c>
      <c r="M239" s="10">
        <f t="shared" si="22"/>
        <v>2549.16</v>
      </c>
      <c r="N239" s="10">
        <f t="shared" si="23"/>
        <v>323.64000000000033</v>
      </c>
      <c r="O239" s="11">
        <f t="shared" si="24"/>
        <v>0.11265664160401014</v>
      </c>
      <c r="P239" t="str">
        <f t="shared" si="25"/>
        <v>June</v>
      </c>
      <c r="Q239" t="str">
        <f t="shared" si="26"/>
        <v>Q2</v>
      </c>
      <c r="R239" t="str">
        <f t="shared" si="27"/>
        <v>Low</v>
      </c>
    </row>
    <row r="240" spans="1:18" x14ac:dyDescent="0.3">
      <c r="A240" s="6" t="s">
        <v>419</v>
      </c>
      <c r="B240" s="7">
        <v>45919</v>
      </c>
      <c r="C240" s="6" t="s">
        <v>420</v>
      </c>
      <c r="D240" s="6" t="s">
        <v>55</v>
      </c>
      <c r="E240" s="6" t="s">
        <v>29</v>
      </c>
      <c r="F240" s="6" t="s">
        <v>35</v>
      </c>
      <c r="G240" s="6" t="s">
        <v>24</v>
      </c>
      <c r="H240" s="6">
        <v>7</v>
      </c>
      <c r="I240" s="8">
        <v>31.38</v>
      </c>
      <c r="J240" s="8">
        <v>21.41</v>
      </c>
      <c r="K240" s="6" t="s">
        <v>32</v>
      </c>
      <c r="L240" s="9">
        <f t="shared" si="21"/>
        <v>219.66</v>
      </c>
      <c r="M240" s="10">
        <f t="shared" si="22"/>
        <v>149.87</v>
      </c>
      <c r="N240" s="10">
        <f t="shared" si="23"/>
        <v>69.789999999999992</v>
      </c>
      <c r="O240" s="11">
        <f t="shared" si="24"/>
        <v>0.31771829190567236</v>
      </c>
      <c r="P240" t="str">
        <f t="shared" si="25"/>
        <v>September</v>
      </c>
      <c r="Q240" t="str">
        <f t="shared" si="26"/>
        <v>Q3</v>
      </c>
      <c r="R240" t="str">
        <f t="shared" si="27"/>
        <v>Low</v>
      </c>
    </row>
    <row r="241" spans="1:18" x14ac:dyDescent="0.3">
      <c r="A241" s="6" t="s">
        <v>421</v>
      </c>
      <c r="B241" s="7">
        <v>45665</v>
      </c>
      <c r="C241" s="6" t="s">
        <v>261</v>
      </c>
      <c r="D241" s="6" t="s">
        <v>21</v>
      </c>
      <c r="E241" s="6" t="s">
        <v>22</v>
      </c>
      <c r="F241" s="6" t="s">
        <v>23</v>
      </c>
      <c r="G241" s="6" t="s">
        <v>57</v>
      </c>
      <c r="H241" s="6">
        <v>12</v>
      </c>
      <c r="I241" s="8">
        <v>1307.53</v>
      </c>
      <c r="J241" s="8">
        <v>841.52</v>
      </c>
      <c r="K241" s="6" t="s">
        <v>32</v>
      </c>
      <c r="L241" s="9">
        <f t="shared" si="21"/>
        <v>15690.36</v>
      </c>
      <c r="M241" s="10">
        <f t="shared" si="22"/>
        <v>10098.24</v>
      </c>
      <c r="N241" s="10">
        <f t="shared" si="23"/>
        <v>5592.1200000000008</v>
      </c>
      <c r="O241" s="11">
        <f t="shared" si="24"/>
        <v>0.35640482436349458</v>
      </c>
      <c r="P241" t="str">
        <f t="shared" si="25"/>
        <v>January</v>
      </c>
      <c r="Q241" t="str">
        <f t="shared" si="26"/>
        <v>Q1</v>
      </c>
      <c r="R241" t="str">
        <f t="shared" si="27"/>
        <v>High</v>
      </c>
    </row>
    <row r="242" spans="1:18" x14ac:dyDescent="0.3">
      <c r="A242" s="6" t="s">
        <v>422</v>
      </c>
      <c r="B242" s="7">
        <v>45826</v>
      </c>
      <c r="C242" s="6" t="s">
        <v>70</v>
      </c>
      <c r="D242" s="6" t="s">
        <v>28</v>
      </c>
      <c r="E242" s="6" t="s">
        <v>46</v>
      </c>
      <c r="F242" s="6" t="s">
        <v>80</v>
      </c>
      <c r="G242" s="6" t="s">
        <v>57</v>
      </c>
      <c r="H242" s="6">
        <v>19</v>
      </c>
      <c r="I242" s="8">
        <v>1397.74</v>
      </c>
      <c r="J242" s="8">
        <v>1215.4100000000001</v>
      </c>
      <c r="K242" s="6" t="s">
        <v>32</v>
      </c>
      <c r="L242" s="9">
        <f t="shared" si="21"/>
        <v>26557.06</v>
      </c>
      <c r="M242" s="10">
        <f t="shared" si="22"/>
        <v>23092.79</v>
      </c>
      <c r="N242" s="10">
        <f t="shared" si="23"/>
        <v>3464.2700000000004</v>
      </c>
      <c r="O242" s="11">
        <f t="shared" si="24"/>
        <v>0.13044629187116347</v>
      </c>
      <c r="P242" t="str">
        <f t="shared" si="25"/>
        <v>June</v>
      </c>
      <c r="Q242" t="str">
        <f t="shared" si="26"/>
        <v>Q2</v>
      </c>
      <c r="R242" t="str">
        <f t="shared" si="27"/>
        <v>High</v>
      </c>
    </row>
    <row r="243" spans="1:18" x14ac:dyDescent="0.3">
      <c r="A243" s="6" t="s">
        <v>423</v>
      </c>
      <c r="B243" s="7">
        <v>45896</v>
      </c>
      <c r="C243" s="6" t="s">
        <v>177</v>
      </c>
      <c r="D243" s="6" t="s">
        <v>28</v>
      </c>
      <c r="E243" s="6" t="s">
        <v>22</v>
      </c>
      <c r="F243" s="6" t="s">
        <v>68</v>
      </c>
      <c r="G243" s="6" t="s">
        <v>40</v>
      </c>
      <c r="H243" s="6">
        <v>9</v>
      </c>
      <c r="I243" s="8">
        <v>671.93</v>
      </c>
      <c r="J243" s="8">
        <v>582.04999999999995</v>
      </c>
      <c r="K243" s="6" t="s">
        <v>41</v>
      </c>
      <c r="L243" s="9">
        <f t="shared" si="21"/>
        <v>6047.37</v>
      </c>
      <c r="M243" s="10">
        <f t="shared" si="22"/>
        <v>5238.45</v>
      </c>
      <c r="N243" s="10">
        <f t="shared" si="23"/>
        <v>808.92000000000007</v>
      </c>
      <c r="O243" s="11">
        <f t="shared" si="24"/>
        <v>0.13376393374309825</v>
      </c>
      <c r="P243" t="str">
        <f t="shared" si="25"/>
        <v>August</v>
      </c>
      <c r="Q243" t="str">
        <f t="shared" si="26"/>
        <v>Q3</v>
      </c>
      <c r="R243" t="str">
        <f t="shared" si="27"/>
        <v>Low</v>
      </c>
    </row>
    <row r="244" spans="1:18" x14ac:dyDescent="0.3">
      <c r="A244" s="6" t="s">
        <v>424</v>
      </c>
      <c r="B244" s="7">
        <v>45970</v>
      </c>
      <c r="C244" s="6" t="s">
        <v>62</v>
      </c>
      <c r="D244" s="6" t="s">
        <v>38</v>
      </c>
      <c r="E244" s="6" t="s">
        <v>29</v>
      </c>
      <c r="F244" s="6" t="s">
        <v>35</v>
      </c>
      <c r="G244" s="6" t="s">
        <v>60</v>
      </c>
      <c r="H244" s="6">
        <v>20</v>
      </c>
      <c r="I244" s="8">
        <v>334.07</v>
      </c>
      <c r="J244" s="8">
        <v>188.94</v>
      </c>
      <c r="K244" s="6" t="s">
        <v>25</v>
      </c>
      <c r="L244" s="9">
        <f t="shared" si="21"/>
        <v>6681.4</v>
      </c>
      <c r="M244" s="10">
        <f t="shared" si="22"/>
        <v>3778.8</v>
      </c>
      <c r="N244" s="10">
        <f t="shared" si="23"/>
        <v>2902.5999999999995</v>
      </c>
      <c r="O244" s="11">
        <f t="shared" si="24"/>
        <v>0.43442990989912289</v>
      </c>
      <c r="P244" t="str">
        <f t="shared" si="25"/>
        <v>November</v>
      </c>
      <c r="Q244" t="str">
        <f t="shared" si="26"/>
        <v>Q4</v>
      </c>
      <c r="R244" t="str">
        <f t="shared" si="27"/>
        <v>Low</v>
      </c>
    </row>
    <row r="245" spans="1:18" x14ac:dyDescent="0.3">
      <c r="A245" s="6" t="s">
        <v>425</v>
      </c>
      <c r="B245" s="7">
        <v>45811</v>
      </c>
      <c r="C245" s="6" t="s">
        <v>120</v>
      </c>
      <c r="D245" s="6" t="s">
        <v>38</v>
      </c>
      <c r="E245" s="6" t="s">
        <v>29</v>
      </c>
      <c r="F245" s="6" t="s">
        <v>30</v>
      </c>
      <c r="G245" s="6" t="s">
        <v>24</v>
      </c>
      <c r="H245" s="6">
        <v>7</v>
      </c>
      <c r="I245" s="8">
        <v>1233.02</v>
      </c>
      <c r="J245" s="8">
        <v>625.83000000000004</v>
      </c>
      <c r="K245" s="6" t="s">
        <v>41</v>
      </c>
      <c r="L245" s="9">
        <f t="shared" si="21"/>
        <v>8631.14</v>
      </c>
      <c r="M245" s="10">
        <f t="shared" si="22"/>
        <v>4380.8100000000004</v>
      </c>
      <c r="N245" s="10">
        <f t="shared" si="23"/>
        <v>4250.329999999999</v>
      </c>
      <c r="O245" s="11">
        <f t="shared" si="24"/>
        <v>0.49244132293069043</v>
      </c>
      <c r="P245" t="str">
        <f t="shared" si="25"/>
        <v>June</v>
      </c>
      <c r="Q245" t="str">
        <f t="shared" si="26"/>
        <v>Q2</v>
      </c>
      <c r="R245" t="str">
        <f t="shared" si="27"/>
        <v>Low</v>
      </c>
    </row>
    <row r="246" spans="1:18" x14ac:dyDescent="0.3">
      <c r="A246" s="6" t="s">
        <v>426</v>
      </c>
      <c r="B246" s="7">
        <v>45809</v>
      </c>
      <c r="C246" s="6" t="s">
        <v>427</v>
      </c>
      <c r="D246" s="6" t="s">
        <v>55</v>
      </c>
      <c r="E246" s="6" t="s">
        <v>22</v>
      </c>
      <c r="F246" s="6" t="s">
        <v>82</v>
      </c>
      <c r="G246" s="6" t="s">
        <v>65</v>
      </c>
      <c r="H246" s="6">
        <v>17</v>
      </c>
      <c r="I246" s="8">
        <v>805.77</v>
      </c>
      <c r="J246" s="8">
        <v>419.36</v>
      </c>
      <c r="K246" s="6" t="s">
        <v>41</v>
      </c>
      <c r="L246" s="9">
        <f t="shared" si="21"/>
        <v>13698.09</v>
      </c>
      <c r="M246" s="10">
        <f t="shared" si="22"/>
        <v>7129.12</v>
      </c>
      <c r="N246" s="10">
        <f t="shared" si="23"/>
        <v>6568.97</v>
      </c>
      <c r="O246" s="11">
        <f t="shared" si="24"/>
        <v>0.47955371880313241</v>
      </c>
      <c r="P246" t="str">
        <f t="shared" si="25"/>
        <v>June</v>
      </c>
      <c r="Q246" t="str">
        <f t="shared" si="26"/>
        <v>Q2</v>
      </c>
      <c r="R246" t="str">
        <f t="shared" si="27"/>
        <v>High</v>
      </c>
    </row>
    <row r="247" spans="1:18" x14ac:dyDescent="0.3">
      <c r="A247" s="6" t="s">
        <v>428</v>
      </c>
      <c r="B247" s="7">
        <v>45803</v>
      </c>
      <c r="C247" s="6" t="s">
        <v>164</v>
      </c>
      <c r="D247" s="6" t="s">
        <v>21</v>
      </c>
      <c r="E247" s="6" t="s">
        <v>22</v>
      </c>
      <c r="F247" s="6" t="s">
        <v>56</v>
      </c>
      <c r="G247" s="6" t="s">
        <v>31</v>
      </c>
      <c r="H247" s="6">
        <v>19</v>
      </c>
      <c r="I247" s="8">
        <v>536.17999999999995</v>
      </c>
      <c r="J247" s="8">
        <v>350.9</v>
      </c>
      <c r="K247" s="6" t="s">
        <v>41</v>
      </c>
      <c r="L247" s="9">
        <f t="shared" si="21"/>
        <v>10187.419999999998</v>
      </c>
      <c r="M247" s="10">
        <f t="shared" si="22"/>
        <v>6667.0999999999995</v>
      </c>
      <c r="N247" s="10">
        <f t="shared" si="23"/>
        <v>3520.3199999999988</v>
      </c>
      <c r="O247" s="11">
        <f t="shared" si="24"/>
        <v>0.34555559700100708</v>
      </c>
      <c r="P247" t="str">
        <f t="shared" si="25"/>
        <v>May</v>
      </c>
      <c r="Q247" t="str">
        <f t="shared" si="26"/>
        <v>Q2</v>
      </c>
      <c r="R247" t="str">
        <f t="shared" si="27"/>
        <v>High</v>
      </c>
    </row>
    <row r="248" spans="1:18" x14ac:dyDescent="0.3">
      <c r="A248" s="6" t="s">
        <v>429</v>
      </c>
      <c r="B248" s="7">
        <v>45706</v>
      </c>
      <c r="C248" s="6" t="s">
        <v>197</v>
      </c>
      <c r="D248" s="6" t="s">
        <v>55</v>
      </c>
      <c r="E248" s="6" t="s">
        <v>46</v>
      </c>
      <c r="F248" s="6" t="s">
        <v>80</v>
      </c>
      <c r="G248" s="6" t="s">
        <v>40</v>
      </c>
      <c r="H248" s="6">
        <v>18</v>
      </c>
      <c r="I248" s="8">
        <v>139.72999999999999</v>
      </c>
      <c r="J248" s="8">
        <v>76.23</v>
      </c>
      <c r="K248" s="6" t="s">
        <v>41</v>
      </c>
      <c r="L248" s="9">
        <f t="shared" si="21"/>
        <v>2515.14</v>
      </c>
      <c r="M248" s="10">
        <f t="shared" si="22"/>
        <v>1372.14</v>
      </c>
      <c r="N248" s="10">
        <f t="shared" si="23"/>
        <v>1142.9999999999998</v>
      </c>
      <c r="O248" s="11">
        <f t="shared" si="24"/>
        <v>0.45444786373720741</v>
      </c>
      <c r="P248" t="str">
        <f t="shared" si="25"/>
        <v>February</v>
      </c>
      <c r="Q248" t="str">
        <f t="shared" si="26"/>
        <v>Q1</v>
      </c>
      <c r="R248" t="str">
        <f t="shared" si="27"/>
        <v>Low</v>
      </c>
    </row>
    <row r="249" spans="1:18" x14ac:dyDescent="0.3">
      <c r="A249" s="6" t="s">
        <v>430</v>
      </c>
      <c r="B249" s="7">
        <v>45956</v>
      </c>
      <c r="C249" s="6" t="s">
        <v>336</v>
      </c>
      <c r="D249" s="6" t="s">
        <v>38</v>
      </c>
      <c r="E249" s="6" t="s">
        <v>22</v>
      </c>
      <c r="F249" s="6" t="s">
        <v>23</v>
      </c>
      <c r="G249" s="6" t="s">
        <v>60</v>
      </c>
      <c r="H249" s="6">
        <v>1</v>
      </c>
      <c r="I249" s="8">
        <v>752.81</v>
      </c>
      <c r="J249" s="8">
        <v>454.69</v>
      </c>
      <c r="K249" s="6" t="s">
        <v>41</v>
      </c>
      <c r="L249" s="9">
        <f t="shared" si="21"/>
        <v>752.81</v>
      </c>
      <c r="M249" s="10">
        <f t="shared" si="22"/>
        <v>454.69</v>
      </c>
      <c r="N249" s="10">
        <f t="shared" si="23"/>
        <v>298.11999999999995</v>
      </c>
      <c r="O249" s="11">
        <f t="shared" si="24"/>
        <v>0.39600961730051404</v>
      </c>
      <c r="P249" t="str">
        <f t="shared" si="25"/>
        <v>October</v>
      </c>
      <c r="Q249" t="str">
        <f t="shared" si="26"/>
        <v>Q4</v>
      </c>
      <c r="R249" t="str">
        <f t="shared" si="27"/>
        <v>Low</v>
      </c>
    </row>
    <row r="250" spans="1:18" x14ac:dyDescent="0.3">
      <c r="A250" s="6" t="s">
        <v>431</v>
      </c>
      <c r="B250" s="7">
        <v>45732</v>
      </c>
      <c r="C250" s="6" t="s">
        <v>84</v>
      </c>
      <c r="D250" s="6" t="s">
        <v>21</v>
      </c>
      <c r="E250" s="6" t="s">
        <v>22</v>
      </c>
      <c r="F250" s="6" t="s">
        <v>23</v>
      </c>
      <c r="G250" s="6" t="s">
        <v>31</v>
      </c>
      <c r="H250" s="6">
        <v>20</v>
      </c>
      <c r="I250" s="8">
        <v>1172.47</v>
      </c>
      <c r="J250" s="8">
        <v>752.37</v>
      </c>
      <c r="K250" s="6" t="s">
        <v>41</v>
      </c>
      <c r="L250" s="9">
        <f t="shared" si="21"/>
        <v>23449.4</v>
      </c>
      <c r="M250" s="10">
        <f t="shared" si="22"/>
        <v>15047.4</v>
      </c>
      <c r="N250" s="10">
        <f t="shared" si="23"/>
        <v>8402.0000000000018</v>
      </c>
      <c r="O250" s="11">
        <f t="shared" si="24"/>
        <v>0.35830341074824945</v>
      </c>
      <c r="P250" t="str">
        <f t="shared" si="25"/>
        <v>March</v>
      </c>
      <c r="Q250" t="str">
        <f t="shared" si="26"/>
        <v>Q1</v>
      </c>
      <c r="R250" t="str">
        <f t="shared" si="27"/>
        <v>High</v>
      </c>
    </row>
    <row r="251" spans="1:18" x14ac:dyDescent="0.3">
      <c r="A251" s="6" t="s">
        <v>432</v>
      </c>
      <c r="B251" s="7">
        <v>45793</v>
      </c>
      <c r="C251" s="6" t="s">
        <v>433</v>
      </c>
      <c r="D251" s="6" t="s">
        <v>21</v>
      </c>
      <c r="E251" s="6" t="s">
        <v>29</v>
      </c>
      <c r="F251" s="6" t="s">
        <v>30</v>
      </c>
      <c r="G251" s="6" t="s">
        <v>65</v>
      </c>
      <c r="H251" s="6">
        <v>2</v>
      </c>
      <c r="I251" s="8">
        <v>980.66</v>
      </c>
      <c r="J251" s="8">
        <v>640.04</v>
      </c>
      <c r="K251" s="6" t="s">
        <v>25</v>
      </c>
      <c r="L251" s="9">
        <f t="shared" si="21"/>
        <v>1961.32</v>
      </c>
      <c r="M251" s="10">
        <f t="shared" si="22"/>
        <v>1280.08</v>
      </c>
      <c r="N251" s="10">
        <f t="shared" si="23"/>
        <v>681.24</v>
      </c>
      <c r="O251" s="11">
        <f t="shared" si="24"/>
        <v>0.34733750739298025</v>
      </c>
      <c r="P251" t="str">
        <f t="shared" si="25"/>
        <v>May</v>
      </c>
      <c r="Q251" t="str">
        <f t="shared" si="26"/>
        <v>Q2</v>
      </c>
      <c r="R251" t="str">
        <f t="shared" si="27"/>
        <v>Low</v>
      </c>
    </row>
    <row r="252" spans="1:18" x14ac:dyDescent="0.3">
      <c r="A252" s="6" t="s">
        <v>434</v>
      </c>
      <c r="B252" s="7">
        <v>45982</v>
      </c>
      <c r="C252" s="6" t="s">
        <v>435</v>
      </c>
      <c r="D252" s="6" t="s">
        <v>21</v>
      </c>
      <c r="E252" s="6" t="s">
        <v>22</v>
      </c>
      <c r="F252" s="6" t="s">
        <v>68</v>
      </c>
      <c r="G252" s="6" t="s">
        <v>65</v>
      </c>
      <c r="H252" s="6">
        <v>12</v>
      </c>
      <c r="I252" s="8">
        <v>704.82</v>
      </c>
      <c r="J252" s="8">
        <v>439.58</v>
      </c>
      <c r="K252" s="6" t="s">
        <v>32</v>
      </c>
      <c r="L252" s="9">
        <f t="shared" si="21"/>
        <v>8457.84</v>
      </c>
      <c r="M252" s="10">
        <f t="shared" si="22"/>
        <v>5274.96</v>
      </c>
      <c r="N252" s="10">
        <f t="shared" si="23"/>
        <v>3182.88</v>
      </c>
      <c r="O252" s="11">
        <f t="shared" si="24"/>
        <v>0.37632303283107743</v>
      </c>
      <c r="P252" t="str">
        <f t="shared" si="25"/>
        <v>November</v>
      </c>
      <c r="Q252" t="str">
        <f t="shared" si="26"/>
        <v>Q4</v>
      </c>
      <c r="R252" t="str">
        <f t="shared" si="27"/>
        <v>Low</v>
      </c>
    </row>
    <row r="253" spans="1:18" x14ac:dyDescent="0.3">
      <c r="A253" s="6" t="s">
        <v>436</v>
      </c>
      <c r="B253" s="7">
        <v>45833</v>
      </c>
      <c r="C253" s="6" t="s">
        <v>437</v>
      </c>
      <c r="D253" s="6" t="s">
        <v>55</v>
      </c>
      <c r="E253" s="6" t="s">
        <v>46</v>
      </c>
      <c r="F253" s="6" t="s">
        <v>73</v>
      </c>
      <c r="G253" s="6" t="s">
        <v>57</v>
      </c>
      <c r="H253" s="6">
        <v>3</v>
      </c>
      <c r="I253" s="8">
        <v>1054.24</v>
      </c>
      <c r="J253" s="8">
        <v>686.83</v>
      </c>
      <c r="K253" s="6" t="s">
        <v>41</v>
      </c>
      <c r="L253" s="9">
        <f t="shared" si="21"/>
        <v>3162.7200000000003</v>
      </c>
      <c r="M253" s="10">
        <f t="shared" si="22"/>
        <v>2060.4900000000002</v>
      </c>
      <c r="N253" s="10">
        <f t="shared" si="23"/>
        <v>1102.23</v>
      </c>
      <c r="O253" s="11">
        <f t="shared" si="24"/>
        <v>0.34850698133252389</v>
      </c>
      <c r="P253" t="str">
        <f t="shared" si="25"/>
        <v>June</v>
      </c>
      <c r="Q253" t="str">
        <f t="shared" si="26"/>
        <v>Q2</v>
      </c>
      <c r="R253" t="str">
        <f t="shared" si="27"/>
        <v>Low</v>
      </c>
    </row>
    <row r="254" spans="1:18" x14ac:dyDescent="0.3">
      <c r="A254" s="6" t="s">
        <v>438</v>
      </c>
      <c r="B254" s="7">
        <v>45874</v>
      </c>
      <c r="C254" s="6" t="s">
        <v>150</v>
      </c>
      <c r="D254" s="6" t="s">
        <v>28</v>
      </c>
      <c r="E254" s="6" t="s">
        <v>22</v>
      </c>
      <c r="F254" s="6" t="s">
        <v>82</v>
      </c>
      <c r="G254" s="6" t="s">
        <v>31</v>
      </c>
      <c r="H254" s="6">
        <v>19</v>
      </c>
      <c r="I254" s="8">
        <v>95.75</v>
      </c>
      <c r="J254" s="8">
        <v>73.59</v>
      </c>
      <c r="K254" s="6" t="s">
        <v>25</v>
      </c>
      <c r="L254" s="9">
        <f t="shared" si="21"/>
        <v>1819.25</v>
      </c>
      <c r="M254" s="10">
        <f t="shared" si="22"/>
        <v>1398.21</v>
      </c>
      <c r="N254" s="10">
        <f t="shared" si="23"/>
        <v>421.03999999999996</v>
      </c>
      <c r="O254" s="11">
        <f t="shared" si="24"/>
        <v>0.23143603133159266</v>
      </c>
      <c r="P254" t="str">
        <f t="shared" si="25"/>
        <v>August</v>
      </c>
      <c r="Q254" t="str">
        <f t="shared" si="26"/>
        <v>Q3</v>
      </c>
      <c r="R254" t="str">
        <f t="shared" si="27"/>
        <v>Low</v>
      </c>
    </row>
    <row r="255" spans="1:18" x14ac:dyDescent="0.3">
      <c r="A255" s="6" t="s">
        <v>439</v>
      </c>
      <c r="B255" s="7">
        <v>45890</v>
      </c>
      <c r="C255" s="6" t="s">
        <v>397</v>
      </c>
      <c r="D255" s="6" t="s">
        <v>55</v>
      </c>
      <c r="E255" s="6" t="s">
        <v>29</v>
      </c>
      <c r="F255" s="6" t="s">
        <v>39</v>
      </c>
      <c r="G255" s="6" t="s">
        <v>65</v>
      </c>
      <c r="H255" s="6">
        <v>10</v>
      </c>
      <c r="I255" s="8">
        <v>402.32</v>
      </c>
      <c r="J255" s="8">
        <v>283.08999999999997</v>
      </c>
      <c r="K255" s="6" t="s">
        <v>41</v>
      </c>
      <c r="L255" s="9">
        <f t="shared" si="21"/>
        <v>4023.2</v>
      </c>
      <c r="M255" s="10">
        <f t="shared" si="22"/>
        <v>2830.8999999999996</v>
      </c>
      <c r="N255" s="10">
        <f t="shared" si="23"/>
        <v>1192.3000000000002</v>
      </c>
      <c r="O255" s="11">
        <f t="shared" si="24"/>
        <v>0.29635613442036196</v>
      </c>
      <c r="P255" t="str">
        <f t="shared" si="25"/>
        <v>August</v>
      </c>
      <c r="Q255" t="str">
        <f t="shared" si="26"/>
        <v>Q3</v>
      </c>
      <c r="R255" t="str">
        <f t="shared" si="27"/>
        <v>Low</v>
      </c>
    </row>
    <row r="256" spans="1:18" x14ac:dyDescent="0.3">
      <c r="A256" s="6" t="s">
        <v>440</v>
      </c>
      <c r="B256" s="7">
        <v>45901</v>
      </c>
      <c r="C256" s="6" t="s">
        <v>125</v>
      </c>
      <c r="D256" s="6" t="s">
        <v>55</v>
      </c>
      <c r="E256" s="6" t="s">
        <v>22</v>
      </c>
      <c r="F256" s="6" t="s">
        <v>23</v>
      </c>
      <c r="G256" s="6" t="s">
        <v>65</v>
      </c>
      <c r="H256" s="6">
        <v>9</v>
      </c>
      <c r="I256" s="8">
        <v>666.23</v>
      </c>
      <c r="J256" s="8">
        <v>468.78</v>
      </c>
      <c r="K256" s="6" t="s">
        <v>25</v>
      </c>
      <c r="L256" s="9">
        <f t="shared" si="21"/>
        <v>5996.07</v>
      </c>
      <c r="M256" s="10">
        <f t="shared" si="22"/>
        <v>4219.0199999999995</v>
      </c>
      <c r="N256" s="10">
        <f t="shared" si="23"/>
        <v>1777.0500000000002</v>
      </c>
      <c r="O256" s="11">
        <f t="shared" si="24"/>
        <v>0.29636912177476249</v>
      </c>
      <c r="P256" t="str">
        <f t="shared" si="25"/>
        <v>September</v>
      </c>
      <c r="Q256" t="str">
        <f t="shared" si="26"/>
        <v>Q3</v>
      </c>
      <c r="R256" t="str">
        <f t="shared" si="27"/>
        <v>Low</v>
      </c>
    </row>
    <row r="257" spans="1:18" x14ac:dyDescent="0.3">
      <c r="A257" s="6" t="s">
        <v>441</v>
      </c>
      <c r="B257" s="7">
        <v>45830</v>
      </c>
      <c r="C257" s="6" t="s">
        <v>303</v>
      </c>
      <c r="D257" s="6" t="s">
        <v>55</v>
      </c>
      <c r="E257" s="6" t="s">
        <v>29</v>
      </c>
      <c r="F257" s="6" t="s">
        <v>39</v>
      </c>
      <c r="G257" s="6" t="s">
        <v>31</v>
      </c>
      <c r="H257" s="6">
        <v>20</v>
      </c>
      <c r="I257" s="8">
        <v>483.82</v>
      </c>
      <c r="J257" s="8">
        <v>306.76</v>
      </c>
      <c r="K257" s="6" t="s">
        <v>41</v>
      </c>
      <c r="L257" s="9">
        <f t="shared" si="21"/>
        <v>9676.4</v>
      </c>
      <c r="M257" s="10">
        <f t="shared" si="22"/>
        <v>6135.2</v>
      </c>
      <c r="N257" s="10">
        <f t="shared" si="23"/>
        <v>3541.2</v>
      </c>
      <c r="O257" s="11">
        <f t="shared" si="24"/>
        <v>0.36596254805506179</v>
      </c>
      <c r="P257" t="str">
        <f t="shared" si="25"/>
        <v>June</v>
      </c>
      <c r="Q257" t="str">
        <f t="shared" si="26"/>
        <v>Q2</v>
      </c>
      <c r="R257" t="str">
        <f t="shared" si="27"/>
        <v>Low</v>
      </c>
    </row>
    <row r="258" spans="1:18" x14ac:dyDescent="0.3">
      <c r="A258" s="6" t="s">
        <v>442</v>
      </c>
      <c r="B258" s="7">
        <v>45939</v>
      </c>
      <c r="C258" s="6" t="s">
        <v>235</v>
      </c>
      <c r="D258" s="6" t="s">
        <v>38</v>
      </c>
      <c r="E258" s="6" t="s">
        <v>46</v>
      </c>
      <c r="F258" s="6" t="s">
        <v>73</v>
      </c>
      <c r="G258" s="6" t="s">
        <v>24</v>
      </c>
      <c r="H258" s="6">
        <v>20</v>
      </c>
      <c r="I258" s="8">
        <v>804.4</v>
      </c>
      <c r="J258" s="8">
        <v>463.45</v>
      </c>
      <c r="K258" s="6" t="s">
        <v>32</v>
      </c>
      <c r="L258" s="9">
        <f t="shared" si="21"/>
        <v>16088</v>
      </c>
      <c r="M258" s="10">
        <f t="shared" si="22"/>
        <v>9269</v>
      </c>
      <c r="N258" s="10">
        <f t="shared" si="23"/>
        <v>6819</v>
      </c>
      <c r="O258" s="11">
        <f t="shared" si="24"/>
        <v>0.42385629040278466</v>
      </c>
      <c r="P258" t="str">
        <f t="shared" si="25"/>
        <v>October</v>
      </c>
      <c r="Q258" t="str">
        <f t="shared" si="26"/>
        <v>Q4</v>
      </c>
      <c r="R258" t="str">
        <f t="shared" si="27"/>
        <v>High</v>
      </c>
    </row>
    <row r="259" spans="1:18" x14ac:dyDescent="0.3">
      <c r="A259" s="6" t="s">
        <v>443</v>
      </c>
      <c r="B259" s="7">
        <v>45753</v>
      </c>
      <c r="C259" s="6" t="s">
        <v>331</v>
      </c>
      <c r="D259" s="6" t="s">
        <v>21</v>
      </c>
      <c r="E259" s="6" t="s">
        <v>22</v>
      </c>
      <c r="F259" s="6" t="s">
        <v>82</v>
      </c>
      <c r="G259" s="6" t="s">
        <v>60</v>
      </c>
      <c r="H259" s="6">
        <v>15</v>
      </c>
      <c r="I259" s="8">
        <v>1087.92</v>
      </c>
      <c r="J259" s="8">
        <v>932.28</v>
      </c>
      <c r="K259" s="6" t="s">
        <v>32</v>
      </c>
      <c r="L259" s="9">
        <f t="shared" si="21"/>
        <v>16318.800000000001</v>
      </c>
      <c r="M259" s="10">
        <f t="shared" si="22"/>
        <v>13984.199999999999</v>
      </c>
      <c r="N259" s="10">
        <f t="shared" si="23"/>
        <v>2334.6000000000022</v>
      </c>
      <c r="O259" s="11">
        <f t="shared" si="24"/>
        <v>0.14306198985219515</v>
      </c>
      <c r="P259" t="str">
        <f t="shared" si="25"/>
        <v>April</v>
      </c>
      <c r="Q259" t="str">
        <f t="shared" si="26"/>
        <v>Q2</v>
      </c>
      <c r="R259" t="str">
        <f t="shared" si="27"/>
        <v>High</v>
      </c>
    </row>
    <row r="260" spans="1:18" x14ac:dyDescent="0.3">
      <c r="A260" s="6" t="s">
        <v>444</v>
      </c>
      <c r="B260" s="7">
        <v>45706</v>
      </c>
      <c r="C260" s="6" t="s">
        <v>257</v>
      </c>
      <c r="D260" s="6" t="s">
        <v>55</v>
      </c>
      <c r="E260" s="6" t="s">
        <v>22</v>
      </c>
      <c r="F260" s="6" t="s">
        <v>23</v>
      </c>
      <c r="G260" s="6" t="s">
        <v>31</v>
      </c>
      <c r="H260" s="6">
        <v>14</v>
      </c>
      <c r="I260" s="8">
        <v>747.07</v>
      </c>
      <c r="J260" s="8">
        <v>470.59</v>
      </c>
      <c r="K260" s="6" t="s">
        <v>32</v>
      </c>
      <c r="L260" s="9">
        <f t="shared" si="21"/>
        <v>10458.980000000001</v>
      </c>
      <c r="M260" s="10">
        <f t="shared" si="22"/>
        <v>6588.2599999999993</v>
      </c>
      <c r="N260" s="10">
        <f t="shared" si="23"/>
        <v>3870.7200000000021</v>
      </c>
      <c r="O260" s="11">
        <f t="shared" si="24"/>
        <v>0.37008580186595647</v>
      </c>
      <c r="P260" t="str">
        <f t="shared" si="25"/>
        <v>February</v>
      </c>
      <c r="Q260" t="str">
        <f t="shared" si="26"/>
        <v>Q1</v>
      </c>
      <c r="R260" t="str">
        <f t="shared" si="27"/>
        <v>High</v>
      </c>
    </row>
    <row r="261" spans="1:18" x14ac:dyDescent="0.3">
      <c r="A261" s="6" t="s">
        <v>445</v>
      </c>
      <c r="B261" s="7">
        <v>45891</v>
      </c>
      <c r="C261" s="6" t="s">
        <v>392</v>
      </c>
      <c r="D261" s="6" t="s">
        <v>55</v>
      </c>
      <c r="E261" s="6" t="s">
        <v>22</v>
      </c>
      <c r="F261" s="6" t="s">
        <v>56</v>
      </c>
      <c r="G261" s="6" t="s">
        <v>57</v>
      </c>
      <c r="H261" s="6">
        <v>4</v>
      </c>
      <c r="I261" s="8">
        <v>915.37</v>
      </c>
      <c r="J261" s="8">
        <v>820.86</v>
      </c>
      <c r="K261" s="6" t="s">
        <v>25</v>
      </c>
      <c r="L261" s="9">
        <f t="shared" si="21"/>
        <v>3661.48</v>
      </c>
      <c r="M261" s="10">
        <f t="shared" si="22"/>
        <v>3283.44</v>
      </c>
      <c r="N261" s="10">
        <f t="shared" si="23"/>
        <v>378.03999999999996</v>
      </c>
      <c r="O261" s="11">
        <f t="shared" si="24"/>
        <v>0.10324786698275014</v>
      </c>
      <c r="P261" t="str">
        <f t="shared" si="25"/>
        <v>August</v>
      </c>
      <c r="Q261" t="str">
        <f t="shared" si="26"/>
        <v>Q3</v>
      </c>
      <c r="R261" t="str">
        <f t="shared" si="27"/>
        <v>Low</v>
      </c>
    </row>
    <row r="262" spans="1:18" x14ac:dyDescent="0.3">
      <c r="A262" s="6" t="s">
        <v>446</v>
      </c>
      <c r="B262" s="7">
        <v>46018</v>
      </c>
      <c r="C262" s="6" t="s">
        <v>166</v>
      </c>
      <c r="D262" s="6" t="s">
        <v>21</v>
      </c>
      <c r="E262" s="6" t="s">
        <v>46</v>
      </c>
      <c r="F262" s="6" t="s">
        <v>85</v>
      </c>
      <c r="G262" s="6" t="s">
        <v>40</v>
      </c>
      <c r="H262" s="6">
        <v>11</v>
      </c>
      <c r="I262" s="8">
        <v>111.57</v>
      </c>
      <c r="J262" s="8">
        <v>81.78</v>
      </c>
      <c r="K262" s="6" t="s">
        <v>41</v>
      </c>
      <c r="L262" s="9">
        <f t="shared" si="21"/>
        <v>1227.27</v>
      </c>
      <c r="M262" s="10">
        <f t="shared" si="22"/>
        <v>899.58</v>
      </c>
      <c r="N262" s="10">
        <f t="shared" si="23"/>
        <v>327.68999999999994</v>
      </c>
      <c r="O262" s="11">
        <f t="shared" si="24"/>
        <v>0.26700726001613334</v>
      </c>
      <c r="P262" t="str">
        <f t="shared" si="25"/>
        <v>December</v>
      </c>
      <c r="Q262" t="str">
        <f t="shared" si="26"/>
        <v>Q4</v>
      </c>
      <c r="R262" t="str">
        <f t="shared" si="27"/>
        <v>Low</v>
      </c>
    </row>
    <row r="263" spans="1:18" x14ac:dyDescent="0.3">
      <c r="A263" s="6" t="s">
        <v>447</v>
      </c>
      <c r="B263" s="7">
        <v>45984</v>
      </c>
      <c r="C263" s="6" t="s">
        <v>211</v>
      </c>
      <c r="D263" s="6" t="s">
        <v>38</v>
      </c>
      <c r="E263" s="6" t="s">
        <v>22</v>
      </c>
      <c r="F263" s="6" t="s">
        <v>56</v>
      </c>
      <c r="G263" s="6" t="s">
        <v>60</v>
      </c>
      <c r="H263" s="6">
        <v>16</v>
      </c>
      <c r="I263" s="8">
        <v>878.28</v>
      </c>
      <c r="J263" s="8">
        <v>548</v>
      </c>
      <c r="K263" s="6" t="s">
        <v>25</v>
      </c>
      <c r="L263" s="9">
        <f t="shared" ref="L263:L326" si="28">H263*I263</f>
        <v>14052.48</v>
      </c>
      <c r="M263" s="10">
        <f t="shared" ref="M263:M326" si="29">H263*J263</f>
        <v>8768</v>
      </c>
      <c r="N263" s="10">
        <f t="shared" ref="N263:N326" si="30">L263-M263</f>
        <v>5284.48</v>
      </c>
      <c r="O263" s="11">
        <f t="shared" ref="O263:O326" si="31">N263/L263</f>
        <v>0.37605319488090355</v>
      </c>
      <c r="P263" t="str">
        <f t="shared" ref="P263:P326" si="32">TEXT(B263,"mmmm")</f>
        <v>November</v>
      </c>
      <c r="Q263" t="str">
        <f t="shared" ref="Q263:Q326" si="33">"Q"&amp;ROUNDUP(MONTH(B263)/3,0)</f>
        <v>Q4</v>
      </c>
      <c r="R263" t="str">
        <f t="shared" ref="R263:R326" si="34">IF(L263&gt;=10000,"High","Low")</f>
        <v>High</v>
      </c>
    </row>
    <row r="264" spans="1:18" x14ac:dyDescent="0.3">
      <c r="A264" s="6" t="s">
        <v>448</v>
      </c>
      <c r="B264" s="7">
        <v>45985</v>
      </c>
      <c r="C264" s="6" t="s">
        <v>370</v>
      </c>
      <c r="D264" s="6" t="s">
        <v>28</v>
      </c>
      <c r="E264" s="6" t="s">
        <v>29</v>
      </c>
      <c r="F264" s="6" t="s">
        <v>30</v>
      </c>
      <c r="G264" s="6" t="s">
        <v>24</v>
      </c>
      <c r="H264" s="6">
        <v>8</v>
      </c>
      <c r="I264" s="8">
        <v>1089.7</v>
      </c>
      <c r="J264" s="8">
        <v>883.81</v>
      </c>
      <c r="K264" s="6" t="s">
        <v>41</v>
      </c>
      <c r="L264" s="9">
        <f t="shared" si="28"/>
        <v>8717.6</v>
      </c>
      <c r="M264" s="10">
        <f t="shared" si="29"/>
        <v>7070.48</v>
      </c>
      <c r="N264" s="10">
        <f t="shared" si="30"/>
        <v>1647.1200000000008</v>
      </c>
      <c r="O264" s="11">
        <f t="shared" si="31"/>
        <v>0.18894191061760127</v>
      </c>
      <c r="P264" t="str">
        <f t="shared" si="32"/>
        <v>November</v>
      </c>
      <c r="Q264" t="str">
        <f t="shared" si="33"/>
        <v>Q4</v>
      </c>
      <c r="R264" t="str">
        <f t="shared" si="34"/>
        <v>Low</v>
      </c>
    </row>
    <row r="265" spans="1:18" x14ac:dyDescent="0.3">
      <c r="A265" s="6" t="s">
        <v>449</v>
      </c>
      <c r="B265" s="7">
        <v>45860</v>
      </c>
      <c r="C265" s="6" t="s">
        <v>313</v>
      </c>
      <c r="D265" s="6" t="s">
        <v>28</v>
      </c>
      <c r="E265" s="6" t="s">
        <v>46</v>
      </c>
      <c r="F265" s="6" t="s">
        <v>73</v>
      </c>
      <c r="G265" s="6" t="s">
        <v>24</v>
      </c>
      <c r="H265" s="6">
        <v>6</v>
      </c>
      <c r="I265" s="8">
        <v>1117.82</v>
      </c>
      <c r="J265" s="8">
        <v>583.21</v>
      </c>
      <c r="K265" s="6" t="s">
        <v>41</v>
      </c>
      <c r="L265" s="9">
        <f t="shared" si="28"/>
        <v>6706.92</v>
      </c>
      <c r="M265" s="10">
        <f t="shared" si="29"/>
        <v>3499.26</v>
      </c>
      <c r="N265" s="10">
        <f t="shared" si="30"/>
        <v>3207.66</v>
      </c>
      <c r="O265" s="11">
        <f t="shared" si="31"/>
        <v>0.47826125852104989</v>
      </c>
      <c r="P265" t="str">
        <f t="shared" si="32"/>
        <v>July</v>
      </c>
      <c r="Q265" t="str">
        <f t="shared" si="33"/>
        <v>Q3</v>
      </c>
      <c r="R265" t="str">
        <f t="shared" si="34"/>
        <v>Low</v>
      </c>
    </row>
    <row r="266" spans="1:18" x14ac:dyDescent="0.3">
      <c r="A266" s="6" t="s">
        <v>450</v>
      </c>
      <c r="B266" s="7">
        <v>45692</v>
      </c>
      <c r="C266" s="6" t="s">
        <v>235</v>
      </c>
      <c r="D266" s="6" t="s">
        <v>28</v>
      </c>
      <c r="E266" s="6" t="s">
        <v>22</v>
      </c>
      <c r="F266" s="6" t="s">
        <v>82</v>
      </c>
      <c r="G266" s="6" t="s">
        <v>65</v>
      </c>
      <c r="H266" s="6">
        <v>1</v>
      </c>
      <c r="I266" s="8">
        <v>967.63</v>
      </c>
      <c r="J266" s="8">
        <v>753.12</v>
      </c>
      <c r="K266" s="6" t="s">
        <v>41</v>
      </c>
      <c r="L266" s="9">
        <f t="shared" si="28"/>
        <v>967.63</v>
      </c>
      <c r="M266" s="10">
        <f t="shared" si="29"/>
        <v>753.12</v>
      </c>
      <c r="N266" s="10">
        <f t="shared" si="30"/>
        <v>214.51</v>
      </c>
      <c r="O266" s="11">
        <f t="shared" si="31"/>
        <v>0.22168597501110962</v>
      </c>
      <c r="P266" t="str">
        <f t="shared" si="32"/>
        <v>February</v>
      </c>
      <c r="Q266" t="str">
        <f t="shared" si="33"/>
        <v>Q1</v>
      </c>
      <c r="R266" t="str">
        <f t="shared" si="34"/>
        <v>Low</v>
      </c>
    </row>
    <row r="267" spans="1:18" x14ac:dyDescent="0.3">
      <c r="A267" s="6" t="s">
        <v>451</v>
      </c>
      <c r="B267" s="7">
        <v>45667</v>
      </c>
      <c r="C267" s="6" t="s">
        <v>328</v>
      </c>
      <c r="D267" s="6" t="s">
        <v>38</v>
      </c>
      <c r="E267" s="6" t="s">
        <v>46</v>
      </c>
      <c r="F267" s="6" t="s">
        <v>47</v>
      </c>
      <c r="G267" s="6" t="s">
        <v>24</v>
      </c>
      <c r="H267" s="6">
        <v>16</v>
      </c>
      <c r="I267" s="8">
        <v>478.28</v>
      </c>
      <c r="J267" s="8">
        <v>414.53</v>
      </c>
      <c r="K267" s="6" t="s">
        <v>41</v>
      </c>
      <c r="L267" s="9">
        <f t="shared" si="28"/>
        <v>7652.48</v>
      </c>
      <c r="M267" s="10">
        <f t="shared" si="29"/>
        <v>6632.48</v>
      </c>
      <c r="N267" s="10">
        <f t="shared" si="30"/>
        <v>1020</v>
      </c>
      <c r="O267" s="11">
        <f t="shared" si="31"/>
        <v>0.13329012294053694</v>
      </c>
      <c r="P267" t="str">
        <f t="shared" si="32"/>
        <v>January</v>
      </c>
      <c r="Q267" t="str">
        <f t="shared" si="33"/>
        <v>Q1</v>
      </c>
      <c r="R267" t="str">
        <f t="shared" si="34"/>
        <v>Low</v>
      </c>
    </row>
    <row r="268" spans="1:18" x14ac:dyDescent="0.3">
      <c r="A268" s="6" t="s">
        <v>452</v>
      </c>
      <c r="B268" s="7">
        <v>45963</v>
      </c>
      <c r="C268" s="6" t="s">
        <v>453</v>
      </c>
      <c r="D268" s="6" t="s">
        <v>55</v>
      </c>
      <c r="E268" s="6" t="s">
        <v>46</v>
      </c>
      <c r="F268" s="6" t="s">
        <v>73</v>
      </c>
      <c r="G268" s="6" t="s">
        <v>65</v>
      </c>
      <c r="H268" s="6">
        <v>4</v>
      </c>
      <c r="I268" s="8">
        <v>1082.76</v>
      </c>
      <c r="J268" s="8">
        <v>904.73</v>
      </c>
      <c r="K268" s="6" t="s">
        <v>41</v>
      </c>
      <c r="L268" s="9">
        <f t="shared" si="28"/>
        <v>4331.04</v>
      </c>
      <c r="M268" s="10">
        <f t="shared" si="29"/>
        <v>3618.92</v>
      </c>
      <c r="N268" s="10">
        <f t="shared" si="30"/>
        <v>712.11999999999989</v>
      </c>
      <c r="O268" s="11">
        <f t="shared" si="31"/>
        <v>0.16442240200967895</v>
      </c>
      <c r="P268" t="str">
        <f t="shared" si="32"/>
        <v>November</v>
      </c>
      <c r="Q268" t="str">
        <f t="shared" si="33"/>
        <v>Q4</v>
      </c>
      <c r="R268" t="str">
        <f t="shared" si="34"/>
        <v>Low</v>
      </c>
    </row>
    <row r="269" spans="1:18" x14ac:dyDescent="0.3">
      <c r="A269" s="6" t="s">
        <v>454</v>
      </c>
      <c r="B269" s="7">
        <v>45943</v>
      </c>
      <c r="C269" s="6" t="s">
        <v>455</v>
      </c>
      <c r="D269" s="6" t="s">
        <v>28</v>
      </c>
      <c r="E269" s="6" t="s">
        <v>22</v>
      </c>
      <c r="F269" s="6" t="s">
        <v>82</v>
      </c>
      <c r="G269" s="6" t="s">
        <v>40</v>
      </c>
      <c r="H269" s="6">
        <v>13</v>
      </c>
      <c r="I269" s="8">
        <v>1026.71</v>
      </c>
      <c r="J269" s="8">
        <v>597.62</v>
      </c>
      <c r="K269" s="6" t="s">
        <v>41</v>
      </c>
      <c r="L269" s="9">
        <f t="shared" si="28"/>
        <v>13347.23</v>
      </c>
      <c r="M269" s="10">
        <f t="shared" si="29"/>
        <v>7769.06</v>
      </c>
      <c r="N269" s="10">
        <f t="shared" si="30"/>
        <v>5578.1699999999992</v>
      </c>
      <c r="O269" s="11">
        <f t="shared" si="31"/>
        <v>0.41792716541184943</v>
      </c>
      <c r="P269" t="str">
        <f t="shared" si="32"/>
        <v>October</v>
      </c>
      <c r="Q269" t="str">
        <f t="shared" si="33"/>
        <v>Q4</v>
      </c>
      <c r="R269" t="str">
        <f t="shared" si="34"/>
        <v>High</v>
      </c>
    </row>
    <row r="270" spans="1:18" x14ac:dyDescent="0.3">
      <c r="A270" s="6" t="s">
        <v>456</v>
      </c>
      <c r="B270" s="7">
        <v>45789</v>
      </c>
      <c r="C270" s="6" t="s">
        <v>211</v>
      </c>
      <c r="D270" s="6" t="s">
        <v>55</v>
      </c>
      <c r="E270" s="6" t="s">
        <v>46</v>
      </c>
      <c r="F270" s="6" t="s">
        <v>47</v>
      </c>
      <c r="G270" s="6" t="s">
        <v>60</v>
      </c>
      <c r="H270" s="6">
        <v>9</v>
      </c>
      <c r="I270" s="8">
        <v>772.53</v>
      </c>
      <c r="J270" s="8">
        <v>691.71</v>
      </c>
      <c r="K270" s="6" t="s">
        <v>25</v>
      </c>
      <c r="L270" s="9">
        <f t="shared" si="28"/>
        <v>6952.7699999999995</v>
      </c>
      <c r="M270" s="10">
        <f t="shared" si="29"/>
        <v>6225.39</v>
      </c>
      <c r="N270" s="10">
        <f t="shared" si="30"/>
        <v>727.3799999999992</v>
      </c>
      <c r="O270" s="11">
        <f t="shared" si="31"/>
        <v>0.10461729641567306</v>
      </c>
      <c r="P270" t="str">
        <f t="shared" si="32"/>
        <v>May</v>
      </c>
      <c r="Q270" t="str">
        <f t="shared" si="33"/>
        <v>Q2</v>
      </c>
      <c r="R270" t="str">
        <f t="shared" si="34"/>
        <v>Low</v>
      </c>
    </row>
    <row r="271" spans="1:18" x14ac:dyDescent="0.3">
      <c r="A271" s="6" t="s">
        <v>457</v>
      </c>
      <c r="B271" s="7">
        <v>45991</v>
      </c>
      <c r="C271" s="6" t="s">
        <v>427</v>
      </c>
      <c r="D271" s="6" t="s">
        <v>55</v>
      </c>
      <c r="E271" s="6" t="s">
        <v>29</v>
      </c>
      <c r="F271" s="6" t="s">
        <v>30</v>
      </c>
      <c r="G271" s="6" t="s">
        <v>24</v>
      </c>
      <c r="H271" s="6">
        <v>16</v>
      </c>
      <c r="I271" s="8">
        <v>1008.92</v>
      </c>
      <c r="J271" s="8">
        <v>739.85</v>
      </c>
      <c r="K271" s="6" t="s">
        <v>25</v>
      </c>
      <c r="L271" s="9">
        <f t="shared" si="28"/>
        <v>16142.72</v>
      </c>
      <c r="M271" s="10">
        <f t="shared" si="29"/>
        <v>11837.6</v>
      </c>
      <c r="N271" s="10">
        <f t="shared" si="30"/>
        <v>4305.119999999999</v>
      </c>
      <c r="O271" s="11">
        <f t="shared" si="31"/>
        <v>0.26669111525195255</v>
      </c>
      <c r="P271" t="str">
        <f t="shared" si="32"/>
        <v>November</v>
      </c>
      <c r="Q271" t="str">
        <f t="shared" si="33"/>
        <v>Q4</v>
      </c>
      <c r="R271" t="str">
        <f t="shared" si="34"/>
        <v>High</v>
      </c>
    </row>
    <row r="272" spans="1:18" x14ac:dyDescent="0.3">
      <c r="A272" s="6" t="s">
        <v>458</v>
      </c>
      <c r="B272" s="7">
        <v>45711</v>
      </c>
      <c r="C272" s="6" t="s">
        <v>136</v>
      </c>
      <c r="D272" s="6" t="s">
        <v>55</v>
      </c>
      <c r="E272" s="6" t="s">
        <v>29</v>
      </c>
      <c r="F272" s="6" t="s">
        <v>35</v>
      </c>
      <c r="G272" s="6" t="s">
        <v>65</v>
      </c>
      <c r="H272" s="6">
        <v>4</v>
      </c>
      <c r="I272" s="8">
        <v>428.91</v>
      </c>
      <c r="J272" s="8">
        <v>266.45</v>
      </c>
      <c r="K272" s="6" t="s">
        <v>41</v>
      </c>
      <c r="L272" s="9">
        <f t="shared" si="28"/>
        <v>1715.64</v>
      </c>
      <c r="M272" s="10">
        <f t="shared" si="29"/>
        <v>1065.8</v>
      </c>
      <c r="N272" s="10">
        <f t="shared" si="30"/>
        <v>649.84000000000015</v>
      </c>
      <c r="O272" s="11">
        <f t="shared" si="31"/>
        <v>0.37877410179291698</v>
      </c>
      <c r="P272" t="str">
        <f t="shared" si="32"/>
        <v>February</v>
      </c>
      <c r="Q272" t="str">
        <f t="shared" si="33"/>
        <v>Q1</v>
      </c>
      <c r="R272" t="str">
        <f t="shared" si="34"/>
        <v>Low</v>
      </c>
    </row>
    <row r="273" spans="1:18" x14ac:dyDescent="0.3">
      <c r="A273" s="6" t="s">
        <v>459</v>
      </c>
      <c r="B273" s="7">
        <v>45815</v>
      </c>
      <c r="C273" s="6" t="s">
        <v>43</v>
      </c>
      <c r="D273" s="6" t="s">
        <v>38</v>
      </c>
      <c r="E273" s="6" t="s">
        <v>46</v>
      </c>
      <c r="F273" s="6" t="s">
        <v>47</v>
      </c>
      <c r="G273" s="6" t="s">
        <v>31</v>
      </c>
      <c r="H273" s="6">
        <v>19</v>
      </c>
      <c r="I273" s="8">
        <v>471.97</v>
      </c>
      <c r="J273" s="8">
        <v>355.57</v>
      </c>
      <c r="K273" s="6" t="s">
        <v>32</v>
      </c>
      <c r="L273" s="9">
        <f t="shared" si="28"/>
        <v>8967.43</v>
      </c>
      <c r="M273" s="10">
        <f t="shared" si="29"/>
        <v>6755.83</v>
      </c>
      <c r="N273" s="10">
        <f t="shared" si="30"/>
        <v>2211.6000000000004</v>
      </c>
      <c r="O273" s="11">
        <f t="shared" si="31"/>
        <v>0.246625844863021</v>
      </c>
      <c r="P273" t="str">
        <f t="shared" si="32"/>
        <v>June</v>
      </c>
      <c r="Q273" t="str">
        <f t="shared" si="33"/>
        <v>Q2</v>
      </c>
      <c r="R273" t="str">
        <f t="shared" si="34"/>
        <v>Low</v>
      </c>
    </row>
    <row r="274" spans="1:18" x14ac:dyDescent="0.3">
      <c r="A274" s="6" t="s">
        <v>460</v>
      </c>
      <c r="B274" s="7">
        <v>45812</v>
      </c>
      <c r="C274" s="6" t="s">
        <v>336</v>
      </c>
      <c r="D274" s="6" t="s">
        <v>38</v>
      </c>
      <c r="E274" s="6" t="s">
        <v>46</v>
      </c>
      <c r="F274" s="6" t="s">
        <v>85</v>
      </c>
      <c r="G274" s="6" t="s">
        <v>60</v>
      </c>
      <c r="H274" s="6">
        <v>15</v>
      </c>
      <c r="I274" s="8">
        <v>446.12</v>
      </c>
      <c r="J274" s="8">
        <v>250.22</v>
      </c>
      <c r="K274" s="6" t="s">
        <v>32</v>
      </c>
      <c r="L274" s="9">
        <f t="shared" si="28"/>
        <v>6691.8</v>
      </c>
      <c r="M274" s="10">
        <f t="shared" si="29"/>
        <v>3753.3</v>
      </c>
      <c r="N274" s="10">
        <f t="shared" si="30"/>
        <v>2938.5</v>
      </c>
      <c r="O274" s="11">
        <f t="shared" si="31"/>
        <v>0.43911951941181743</v>
      </c>
      <c r="P274" t="str">
        <f t="shared" si="32"/>
        <v>June</v>
      </c>
      <c r="Q274" t="str">
        <f t="shared" si="33"/>
        <v>Q2</v>
      </c>
      <c r="R274" t="str">
        <f t="shared" si="34"/>
        <v>Low</v>
      </c>
    </row>
    <row r="275" spans="1:18" x14ac:dyDescent="0.3">
      <c r="A275" s="6" t="s">
        <v>461</v>
      </c>
      <c r="B275" s="7">
        <v>45929</v>
      </c>
      <c r="C275" s="6" t="s">
        <v>213</v>
      </c>
      <c r="D275" s="6" t="s">
        <v>38</v>
      </c>
      <c r="E275" s="6" t="s">
        <v>22</v>
      </c>
      <c r="F275" s="6" t="s">
        <v>82</v>
      </c>
      <c r="G275" s="6" t="s">
        <v>31</v>
      </c>
      <c r="H275" s="6">
        <v>8</v>
      </c>
      <c r="I275" s="8">
        <v>460.24</v>
      </c>
      <c r="J275" s="8">
        <v>340.94</v>
      </c>
      <c r="K275" s="6" t="s">
        <v>41</v>
      </c>
      <c r="L275" s="9">
        <f t="shared" si="28"/>
        <v>3681.92</v>
      </c>
      <c r="M275" s="10">
        <f t="shared" si="29"/>
        <v>2727.52</v>
      </c>
      <c r="N275" s="10">
        <f t="shared" si="30"/>
        <v>954.40000000000009</v>
      </c>
      <c r="O275" s="11">
        <f t="shared" si="31"/>
        <v>0.25921258473839737</v>
      </c>
      <c r="P275" t="str">
        <f t="shared" si="32"/>
        <v>September</v>
      </c>
      <c r="Q275" t="str">
        <f t="shared" si="33"/>
        <v>Q3</v>
      </c>
      <c r="R275" t="str">
        <f t="shared" si="34"/>
        <v>Low</v>
      </c>
    </row>
    <row r="276" spans="1:18" x14ac:dyDescent="0.3">
      <c r="A276" s="6" t="s">
        <v>462</v>
      </c>
      <c r="B276" s="7">
        <v>45869</v>
      </c>
      <c r="C276" s="6" t="s">
        <v>120</v>
      </c>
      <c r="D276" s="6" t="s">
        <v>55</v>
      </c>
      <c r="E276" s="6" t="s">
        <v>22</v>
      </c>
      <c r="F276" s="6" t="s">
        <v>56</v>
      </c>
      <c r="G276" s="6" t="s">
        <v>24</v>
      </c>
      <c r="H276" s="6">
        <v>15</v>
      </c>
      <c r="I276" s="8">
        <v>615.5</v>
      </c>
      <c r="J276" s="8">
        <v>501.69</v>
      </c>
      <c r="K276" s="6" t="s">
        <v>25</v>
      </c>
      <c r="L276" s="9">
        <f t="shared" si="28"/>
        <v>9232.5</v>
      </c>
      <c r="M276" s="10">
        <f t="shared" si="29"/>
        <v>7525.35</v>
      </c>
      <c r="N276" s="10">
        <f t="shared" si="30"/>
        <v>1707.1499999999996</v>
      </c>
      <c r="O276" s="11">
        <f t="shared" si="31"/>
        <v>0.18490658001624691</v>
      </c>
      <c r="P276" t="str">
        <f t="shared" si="32"/>
        <v>July</v>
      </c>
      <c r="Q276" t="str">
        <f t="shared" si="33"/>
        <v>Q3</v>
      </c>
      <c r="R276" t="str">
        <f t="shared" si="34"/>
        <v>Low</v>
      </c>
    </row>
    <row r="277" spans="1:18" x14ac:dyDescent="0.3">
      <c r="A277" s="6" t="s">
        <v>463</v>
      </c>
      <c r="B277" s="7">
        <v>45703</v>
      </c>
      <c r="C277" s="6" t="s">
        <v>264</v>
      </c>
      <c r="D277" s="6" t="s">
        <v>55</v>
      </c>
      <c r="E277" s="6" t="s">
        <v>29</v>
      </c>
      <c r="F277" s="6" t="s">
        <v>39</v>
      </c>
      <c r="G277" s="6" t="s">
        <v>57</v>
      </c>
      <c r="H277" s="6">
        <v>1</v>
      </c>
      <c r="I277" s="8">
        <v>595.08000000000004</v>
      </c>
      <c r="J277" s="8">
        <v>387.84</v>
      </c>
      <c r="K277" s="6" t="s">
        <v>25</v>
      </c>
      <c r="L277" s="9">
        <f t="shared" si="28"/>
        <v>595.08000000000004</v>
      </c>
      <c r="M277" s="10">
        <f t="shared" si="29"/>
        <v>387.84</v>
      </c>
      <c r="N277" s="10">
        <f t="shared" si="30"/>
        <v>207.24000000000007</v>
      </c>
      <c r="O277" s="11">
        <f t="shared" si="31"/>
        <v>0.34825569671304707</v>
      </c>
      <c r="P277" t="str">
        <f t="shared" si="32"/>
        <v>February</v>
      </c>
      <c r="Q277" t="str">
        <f t="shared" si="33"/>
        <v>Q1</v>
      </c>
      <c r="R277" t="str">
        <f t="shared" si="34"/>
        <v>Low</v>
      </c>
    </row>
    <row r="278" spans="1:18" x14ac:dyDescent="0.3">
      <c r="A278" s="6" t="s">
        <v>464</v>
      </c>
      <c r="B278" s="7">
        <v>45681</v>
      </c>
      <c r="C278" s="6" t="s">
        <v>87</v>
      </c>
      <c r="D278" s="6" t="s">
        <v>28</v>
      </c>
      <c r="E278" s="6" t="s">
        <v>22</v>
      </c>
      <c r="F278" s="6" t="s">
        <v>56</v>
      </c>
      <c r="G278" s="6" t="s">
        <v>57</v>
      </c>
      <c r="H278" s="6">
        <v>16</v>
      </c>
      <c r="I278" s="8">
        <v>1435.97</v>
      </c>
      <c r="J278" s="8">
        <v>1142.67</v>
      </c>
      <c r="K278" s="6" t="s">
        <v>25</v>
      </c>
      <c r="L278" s="9">
        <f t="shared" si="28"/>
        <v>22975.52</v>
      </c>
      <c r="M278" s="10">
        <f t="shared" si="29"/>
        <v>18282.72</v>
      </c>
      <c r="N278" s="10">
        <f t="shared" si="30"/>
        <v>4692.7999999999993</v>
      </c>
      <c r="O278" s="11">
        <f t="shared" si="31"/>
        <v>0.20425217797029183</v>
      </c>
      <c r="P278" t="str">
        <f t="shared" si="32"/>
        <v>January</v>
      </c>
      <c r="Q278" t="str">
        <f t="shared" si="33"/>
        <v>Q1</v>
      </c>
      <c r="R278" t="str">
        <f t="shared" si="34"/>
        <v>High</v>
      </c>
    </row>
    <row r="279" spans="1:18" x14ac:dyDescent="0.3">
      <c r="A279" s="6" t="s">
        <v>465</v>
      </c>
      <c r="B279" s="7">
        <v>45850</v>
      </c>
      <c r="C279" s="6" t="s">
        <v>466</v>
      </c>
      <c r="D279" s="6" t="s">
        <v>55</v>
      </c>
      <c r="E279" s="6" t="s">
        <v>22</v>
      </c>
      <c r="F279" s="6" t="s">
        <v>56</v>
      </c>
      <c r="G279" s="6" t="s">
        <v>65</v>
      </c>
      <c r="H279" s="6">
        <v>18</v>
      </c>
      <c r="I279" s="8">
        <v>758.23</v>
      </c>
      <c r="J279" s="8">
        <v>645.16999999999996</v>
      </c>
      <c r="K279" s="6" t="s">
        <v>32</v>
      </c>
      <c r="L279" s="9">
        <f t="shared" si="28"/>
        <v>13648.14</v>
      </c>
      <c r="M279" s="10">
        <f t="shared" si="29"/>
        <v>11613.06</v>
      </c>
      <c r="N279" s="10">
        <f t="shared" si="30"/>
        <v>2035.08</v>
      </c>
      <c r="O279" s="11">
        <f t="shared" si="31"/>
        <v>0.14911042823417697</v>
      </c>
      <c r="P279" t="str">
        <f t="shared" si="32"/>
        <v>July</v>
      </c>
      <c r="Q279" t="str">
        <f t="shared" si="33"/>
        <v>Q3</v>
      </c>
      <c r="R279" t="str">
        <f t="shared" si="34"/>
        <v>High</v>
      </c>
    </row>
    <row r="280" spans="1:18" x14ac:dyDescent="0.3">
      <c r="A280" s="6" t="s">
        <v>467</v>
      </c>
      <c r="B280" s="7">
        <v>45840</v>
      </c>
      <c r="C280" s="6" t="s">
        <v>143</v>
      </c>
      <c r="D280" s="6" t="s">
        <v>38</v>
      </c>
      <c r="E280" s="6" t="s">
        <v>46</v>
      </c>
      <c r="F280" s="6" t="s">
        <v>47</v>
      </c>
      <c r="G280" s="6" t="s">
        <v>65</v>
      </c>
      <c r="H280" s="6">
        <v>14</v>
      </c>
      <c r="I280" s="8">
        <v>47.76</v>
      </c>
      <c r="J280" s="8">
        <v>42.72</v>
      </c>
      <c r="K280" s="6" t="s">
        <v>32</v>
      </c>
      <c r="L280" s="9">
        <f t="shared" si="28"/>
        <v>668.64</v>
      </c>
      <c r="M280" s="10">
        <f t="shared" si="29"/>
        <v>598.07999999999993</v>
      </c>
      <c r="N280" s="10">
        <f t="shared" si="30"/>
        <v>70.560000000000059</v>
      </c>
      <c r="O280" s="11">
        <f t="shared" si="31"/>
        <v>0.10552763819095487</v>
      </c>
      <c r="P280" t="str">
        <f t="shared" si="32"/>
        <v>July</v>
      </c>
      <c r="Q280" t="str">
        <f t="shared" si="33"/>
        <v>Q3</v>
      </c>
      <c r="R280" t="str">
        <f t="shared" si="34"/>
        <v>Low</v>
      </c>
    </row>
    <row r="281" spans="1:18" x14ac:dyDescent="0.3">
      <c r="A281" s="6" t="s">
        <v>468</v>
      </c>
      <c r="B281" s="7">
        <v>45909</v>
      </c>
      <c r="C281" s="6" t="s">
        <v>331</v>
      </c>
      <c r="D281" s="6" t="s">
        <v>28</v>
      </c>
      <c r="E281" s="6" t="s">
        <v>22</v>
      </c>
      <c r="F281" s="6" t="s">
        <v>56</v>
      </c>
      <c r="G281" s="6" t="s">
        <v>40</v>
      </c>
      <c r="H281" s="6">
        <v>12</v>
      </c>
      <c r="I281" s="8">
        <v>143.54</v>
      </c>
      <c r="J281" s="8">
        <v>81.13</v>
      </c>
      <c r="K281" s="6" t="s">
        <v>41</v>
      </c>
      <c r="L281" s="9">
        <f t="shared" si="28"/>
        <v>1722.48</v>
      </c>
      <c r="M281" s="10">
        <f t="shared" si="29"/>
        <v>973.56</v>
      </c>
      <c r="N281" s="10">
        <f t="shared" si="30"/>
        <v>748.92000000000007</v>
      </c>
      <c r="O281" s="11">
        <f t="shared" si="31"/>
        <v>0.43479169569457993</v>
      </c>
      <c r="P281" t="str">
        <f t="shared" si="32"/>
        <v>September</v>
      </c>
      <c r="Q281" t="str">
        <f t="shared" si="33"/>
        <v>Q3</v>
      </c>
      <c r="R281" t="str">
        <f t="shared" si="34"/>
        <v>Low</v>
      </c>
    </row>
    <row r="282" spans="1:18" x14ac:dyDescent="0.3">
      <c r="A282" s="6" t="s">
        <v>469</v>
      </c>
      <c r="B282" s="7">
        <v>45939</v>
      </c>
      <c r="C282" s="6" t="s">
        <v>401</v>
      </c>
      <c r="D282" s="6" t="s">
        <v>21</v>
      </c>
      <c r="E282" s="6" t="s">
        <v>46</v>
      </c>
      <c r="F282" s="6" t="s">
        <v>80</v>
      </c>
      <c r="G282" s="6" t="s">
        <v>60</v>
      </c>
      <c r="H282" s="6">
        <v>17</v>
      </c>
      <c r="I282" s="8">
        <v>195.12</v>
      </c>
      <c r="J282" s="8">
        <v>168.07</v>
      </c>
      <c r="K282" s="6" t="s">
        <v>32</v>
      </c>
      <c r="L282" s="9">
        <f t="shared" si="28"/>
        <v>3317.04</v>
      </c>
      <c r="M282" s="10">
        <f t="shared" si="29"/>
        <v>2857.19</v>
      </c>
      <c r="N282" s="10">
        <f t="shared" si="30"/>
        <v>459.84999999999991</v>
      </c>
      <c r="O282" s="11">
        <f t="shared" si="31"/>
        <v>0.13863263632636325</v>
      </c>
      <c r="P282" t="str">
        <f t="shared" si="32"/>
        <v>October</v>
      </c>
      <c r="Q282" t="str">
        <f t="shared" si="33"/>
        <v>Q4</v>
      </c>
      <c r="R282" t="str">
        <f t="shared" si="34"/>
        <v>Low</v>
      </c>
    </row>
    <row r="283" spans="1:18" x14ac:dyDescent="0.3">
      <c r="A283" s="6" t="s">
        <v>470</v>
      </c>
      <c r="B283" s="7">
        <v>45791</v>
      </c>
      <c r="C283" s="6" t="s">
        <v>168</v>
      </c>
      <c r="D283" s="6" t="s">
        <v>21</v>
      </c>
      <c r="E283" s="6" t="s">
        <v>22</v>
      </c>
      <c r="F283" s="6" t="s">
        <v>56</v>
      </c>
      <c r="G283" s="6" t="s">
        <v>57</v>
      </c>
      <c r="H283" s="6">
        <v>2</v>
      </c>
      <c r="I283" s="8">
        <v>1067.01</v>
      </c>
      <c r="J283" s="8">
        <v>796.92</v>
      </c>
      <c r="K283" s="6" t="s">
        <v>32</v>
      </c>
      <c r="L283" s="9">
        <f t="shared" si="28"/>
        <v>2134.02</v>
      </c>
      <c r="M283" s="10">
        <f t="shared" si="29"/>
        <v>1593.84</v>
      </c>
      <c r="N283" s="10">
        <f t="shared" si="30"/>
        <v>540.18000000000006</v>
      </c>
      <c r="O283" s="11">
        <f t="shared" si="31"/>
        <v>0.25312789945736219</v>
      </c>
      <c r="P283" t="str">
        <f t="shared" si="32"/>
        <v>May</v>
      </c>
      <c r="Q283" t="str">
        <f t="shared" si="33"/>
        <v>Q2</v>
      </c>
      <c r="R283" t="str">
        <f t="shared" si="34"/>
        <v>Low</v>
      </c>
    </row>
    <row r="284" spans="1:18" x14ac:dyDescent="0.3">
      <c r="A284" s="6" t="s">
        <v>471</v>
      </c>
      <c r="B284" s="7">
        <v>45827</v>
      </c>
      <c r="C284" s="6" t="s">
        <v>356</v>
      </c>
      <c r="D284" s="6" t="s">
        <v>21</v>
      </c>
      <c r="E284" s="6" t="s">
        <v>29</v>
      </c>
      <c r="F284" s="6" t="s">
        <v>35</v>
      </c>
      <c r="G284" s="6" t="s">
        <v>57</v>
      </c>
      <c r="H284" s="6">
        <v>10</v>
      </c>
      <c r="I284" s="8">
        <v>497.62</v>
      </c>
      <c r="J284" s="8">
        <v>303.62</v>
      </c>
      <c r="K284" s="6" t="s">
        <v>32</v>
      </c>
      <c r="L284" s="9">
        <f t="shared" si="28"/>
        <v>4976.2</v>
      </c>
      <c r="M284" s="10">
        <f t="shared" si="29"/>
        <v>3036.2</v>
      </c>
      <c r="N284" s="10">
        <f t="shared" si="30"/>
        <v>1940</v>
      </c>
      <c r="O284" s="11">
        <f t="shared" si="31"/>
        <v>0.38985571319480727</v>
      </c>
      <c r="P284" t="str">
        <f t="shared" si="32"/>
        <v>June</v>
      </c>
      <c r="Q284" t="str">
        <f t="shared" si="33"/>
        <v>Q2</v>
      </c>
      <c r="R284" t="str">
        <f t="shared" si="34"/>
        <v>Low</v>
      </c>
    </row>
    <row r="285" spans="1:18" x14ac:dyDescent="0.3">
      <c r="A285" s="6" t="s">
        <v>472</v>
      </c>
      <c r="B285" s="7">
        <v>45739</v>
      </c>
      <c r="C285" s="6" t="s">
        <v>270</v>
      </c>
      <c r="D285" s="6" t="s">
        <v>21</v>
      </c>
      <c r="E285" s="6" t="s">
        <v>46</v>
      </c>
      <c r="F285" s="6" t="s">
        <v>73</v>
      </c>
      <c r="G285" s="6" t="s">
        <v>57</v>
      </c>
      <c r="H285" s="6">
        <v>4</v>
      </c>
      <c r="I285" s="8">
        <v>1308.75</v>
      </c>
      <c r="J285" s="8">
        <v>1028.51</v>
      </c>
      <c r="K285" s="6" t="s">
        <v>41</v>
      </c>
      <c r="L285" s="9">
        <f t="shared" si="28"/>
        <v>5235</v>
      </c>
      <c r="M285" s="10">
        <f t="shared" si="29"/>
        <v>4114.04</v>
      </c>
      <c r="N285" s="10">
        <f t="shared" si="30"/>
        <v>1120.96</v>
      </c>
      <c r="O285" s="11">
        <f t="shared" si="31"/>
        <v>0.2141279847182426</v>
      </c>
      <c r="P285" t="str">
        <f t="shared" si="32"/>
        <v>March</v>
      </c>
      <c r="Q285" t="str">
        <f t="shared" si="33"/>
        <v>Q1</v>
      </c>
      <c r="R285" t="str">
        <f t="shared" si="34"/>
        <v>Low</v>
      </c>
    </row>
    <row r="286" spans="1:18" x14ac:dyDescent="0.3">
      <c r="A286" s="6" t="s">
        <v>473</v>
      </c>
      <c r="B286" s="7">
        <v>45768</v>
      </c>
      <c r="C286" s="6" t="s">
        <v>326</v>
      </c>
      <c r="D286" s="6" t="s">
        <v>38</v>
      </c>
      <c r="E286" s="6" t="s">
        <v>46</v>
      </c>
      <c r="F286" s="6" t="s">
        <v>85</v>
      </c>
      <c r="G286" s="6" t="s">
        <v>65</v>
      </c>
      <c r="H286" s="6">
        <v>16</v>
      </c>
      <c r="I286" s="8">
        <v>969.27</v>
      </c>
      <c r="J286" s="8">
        <v>520.45000000000005</v>
      </c>
      <c r="K286" s="6" t="s">
        <v>25</v>
      </c>
      <c r="L286" s="9">
        <f t="shared" si="28"/>
        <v>15508.32</v>
      </c>
      <c r="M286" s="10">
        <f t="shared" si="29"/>
        <v>8327.2000000000007</v>
      </c>
      <c r="N286" s="10">
        <f t="shared" si="30"/>
        <v>7181.119999999999</v>
      </c>
      <c r="O286" s="11">
        <f t="shared" si="31"/>
        <v>0.46304951148802703</v>
      </c>
      <c r="P286" t="str">
        <f t="shared" si="32"/>
        <v>April</v>
      </c>
      <c r="Q286" t="str">
        <f t="shared" si="33"/>
        <v>Q2</v>
      </c>
      <c r="R286" t="str">
        <f t="shared" si="34"/>
        <v>High</v>
      </c>
    </row>
    <row r="287" spans="1:18" x14ac:dyDescent="0.3">
      <c r="A287" s="6" t="s">
        <v>474</v>
      </c>
      <c r="B287" s="7">
        <v>45969</v>
      </c>
      <c r="C287" s="6" t="s">
        <v>233</v>
      </c>
      <c r="D287" s="6" t="s">
        <v>28</v>
      </c>
      <c r="E287" s="6" t="s">
        <v>22</v>
      </c>
      <c r="F287" s="6" t="s">
        <v>56</v>
      </c>
      <c r="G287" s="6" t="s">
        <v>65</v>
      </c>
      <c r="H287" s="6">
        <v>5</v>
      </c>
      <c r="I287" s="8">
        <v>692.3</v>
      </c>
      <c r="J287" s="8">
        <v>568.55999999999995</v>
      </c>
      <c r="K287" s="6" t="s">
        <v>25</v>
      </c>
      <c r="L287" s="9">
        <f t="shared" si="28"/>
        <v>3461.5</v>
      </c>
      <c r="M287" s="10">
        <f t="shared" si="29"/>
        <v>2842.7999999999997</v>
      </c>
      <c r="N287" s="10">
        <f t="shared" si="30"/>
        <v>618.70000000000027</v>
      </c>
      <c r="O287" s="11">
        <f t="shared" si="31"/>
        <v>0.17873754152823929</v>
      </c>
      <c r="P287" t="str">
        <f t="shared" si="32"/>
        <v>November</v>
      </c>
      <c r="Q287" t="str">
        <f t="shared" si="33"/>
        <v>Q4</v>
      </c>
      <c r="R287" t="str">
        <f t="shared" si="34"/>
        <v>Low</v>
      </c>
    </row>
    <row r="288" spans="1:18" x14ac:dyDescent="0.3">
      <c r="A288" s="6" t="s">
        <v>475</v>
      </c>
      <c r="B288" s="7">
        <v>46009</v>
      </c>
      <c r="C288" s="6" t="s">
        <v>283</v>
      </c>
      <c r="D288" s="6" t="s">
        <v>21</v>
      </c>
      <c r="E288" s="6" t="s">
        <v>29</v>
      </c>
      <c r="F288" s="6" t="s">
        <v>35</v>
      </c>
      <c r="G288" s="6" t="s">
        <v>24</v>
      </c>
      <c r="H288" s="6">
        <v>11</v>
      </c>
      <c r="I288" s="8">
        <v>120.05</v>
      </c>
      <c r="J288" s="8">
        <v>83.32</v>
      </c>
      <c r="K288" s="6" t="s">
        <v>41</v>
      </c>
      <c r="L288" s="9">
        <f t="shared" si="28"/>
        <v>1320.55</v>
      </c>
      <c r="M288" s="10">
        <f t="shared" si="29"/>
        <v>916.52</v>
      </c>
      <c r="N288" s="10">
        <f t="shared" si="30"/>
        <v>404.03</v>
      </c>
      <c r="O288" s="11">
        <f t="shared" si="31"/>
        <v>0.30595585172844647</v>
      </c>
      <c r="P288" t="str">
        <f t="shared" si="32"/>
        <v>December</v>
      </c>
      <c r="Q288" t="str">
        <f t="shared" si="33"/>
        <v>Q4</v>
      </c>
      <c r="R288" t="str">
        <f t="shared" si="34"/>
        <v>Low</v>
      </c>
    </row>
    <row r="289" spans="1:18" x14ac:dyDescent="0.3">
      <c r="A289" s="6" t="s">
        <v>476</v>
      </c>
      <c r="B289" s="7">
        <v>45855</v>
      </c>
      <c r="C289" s="6" t="s">
        <v>477</v>
      </c>
      <c r="D289" s="6" t="s">
        <v>38</v>
      </c>
      <c r="E289" s="6" t="s">
        <v>46</v>
      </c>
      <c r="F289" s="6" t="s">
        <v>80</v>
      </c>
      <c r="G289" s="6" t="s">
        <v>31</v>
      </c>
      <c r="H289" s="6">
        <v>15</v>
      </c>
      <c r="I289" s="8">
        <v>1343.6</v>
      </c>
      <c r="J289" s="8">
        <v>1042.46</v>
      </c>
      <c r="K289" s="6" t="s">
        <v>41</v>
      </c>
      <c r="L289" s="9">
        <f t="shared" si="28"/>
        <v>20154</v>
      </c>
      <c r="M289" s="10">
        <f t="shared" si="29"/>
        <v>15636.900000000001</v>
      </c>
      <c r="N289" s="10">
        <f t="shared" si="30"/>
        <v>4517.0999999999985</v>
      </c>
      <c r="O289" s="11">
        <f t="shared" si="31"/>
        <v>0.22412920512057152</v>
      </c>
      <c r="P289" t="str">
        <f t="shared" si="32"/>
        <v>July</v>
      </c>
      <c r="Q289" t="str">
        <f t="shared" si="33"/>
        <v>Q3</v>
      </c>
      <c r="R289" t="str">
        <f t="shared" si="34"/>
        <v>High</v>
      </c>
    </row>
    <row r="290" spans="1:18" x14ac:dyDescent="0.3">
      <c r="A290" s="6" t="s">
        <v>478</v>
      </c>
      <c r="B290" s="7">
        <v>45841</v>
      </c>
      <c r="C290" s="6" t="s">
        <v>268</v>
      </c>
      <c r="D290" s="6" t="s">
        <v>38</v>
      </c>
      <c r="E290" s="6" t="s">
        <v>29</v>
      </c>
      <c r="F290" s="6" t="s">
        <v>39</v>
      </c>
      <c r="G290" s="6" t="s">
        <v>24</v>
      </c>
      <c r="H290" s="6">
        <v>5</v>
      </c>
      <c r="I290" s="8">
        <v>654.79999999999995</v>
      </c>
      <c r="J290" s="8">
        <v>390.87</v>
      </c>
      <c r="K290" s="6" t="s">
        <v>25</v>
      </c>
      <c r="L290" s="9">
        <f t="shared" si="28"/>
        <v>3274</v>
      </c>
      <c r="M290" s="10">
        <f t="shared" si="29"/>
        <v>1954.35</v>
      </c>
      <c r="N290" s="10">
        <f t="shared" si="30"/>
        <v>1319.65</v>
      </c>
      <c r="O290" s="11">
        <f t="shared" si="31"/>
        <v>0.40306963958460601</v>
      </c>
      <c r="P290" t="str">
        <f t="shared" si="32"/>
        <v>July</v>
      </c>
      <c r="Q290" t="str">
        <f t="shared" si="33"/>
        <v>Q3</v>
      </c>
      <c r="R290" t="str">
        <f t="shared" si="34"/>
        <v>Low</v>
      </c>
    </row>
    <row r="291" spans="1:18" x14ac:dyDescent="0.3">
      <c r="A291" s="6" t="s">
        <v>479</v>
      </c>
      <c r="B291" s="7">
        <v>45935</v>
      </c>
      <c r="C291" s="6" t="s">
        <v>480</v>
      </c>
      <c r="D291" s="6" t="s">
        <v>28</v>
      </c>
      <c r="E291" s="6" t="s">
        <v>46</v>
      </c>
      <c r="F291" s="6" t="s">
        <v>47</v>
      </c>
      <c r="G291" s="6" t="s">
        <v>65</v>
      </c>
      <c r="H291" s="6">
        <v>17</v>
      </c>
      <c r="I291" s="8">
        <v>320.14</v>
      </c>
      <c r="J291" s="8">
        <v>241.23</v>
      </c>
      <c r="K291" s="6" t="s">
        <v>41</v>
      </c>
      <c r="L291" s="9">
        <f t="shared" si="28"/>
        <v>5442.38</v>
      </c>
      <c r="M291" s="10">
        <f t="shared" si="29"/>
        <v>4100.91</v>
      </c>
      <c r="N291" s="10">
        <f t="shared" si="30"/>
        <v>1341.4700000000003</v>
      </c>
      <c r="O291" s="11">
        <f t="shared" si="31"/>
        <v>0.24648591241331921</v>
      </c>
      <c r="P291" t="str">
        <f t="shared" si="32"/>
        <v>October</v>
      </c>
      <c r="Q291" t="str">
        <f t="shared" si="33"/>
        <v>Q4</v>
      </c>
      <c r="R291" t="str">
        <f t="shared" si="34"/>
        <v>Low</v>
      </c>
    </row>
    <row r="292" spans="1:18" x14ac:dyDescent="0.3">
      <c r="A292" s="6" t="s">
        <v>481</v>
      </c>
      <c r="B292" s="7">
        <v>45926</v>
      </c>
      <c r="C292" s="6" t="s">
        <v>261</v>
      </c>
      <c r="D292" s="6" t="s">
        <v>21</v>
      </c>
      <c r="E292" s="6" t="s">
        <v>22</v>
      </c>
      <c r="F292" s="6" t="s">
        <v>56</v>
      </c>
      <c r="G292" s="6" t="s">
        <v>40</v>
      </c>
      <c r="H292" s="6">
        <v>3</v>
      </c>
      <c r="I292" s="8">
        <v>1015.3</v>
      </c>
      <c r="J292" s="8">
        <v>787.89</v>
      </c>
      <c r="K292" s="6" t="s">
        <v>41</v>
      </c>
      <c r="L292" s="9">
        <f t="shared" si="28"/>
        <v>3045.8999999999996</v>
      </c>
      <c r="M292" s="10">
        <f t="shared" si="29"/>
        <v>2363.67</v>
      </c>
      <c r="N292" s="10">
        <f t="shared" si="30"/>
        <v>682.22999999999956</v>
      </c>
      <c r="O292" s="11">
        <f t="shared" si="31"/>
        <v>0.22398305919432668</v>
      </c>
      <c r="P292" t="str">
        <f t="shared" si="32"/>
        <v>September</v>
      </c>
      <c r="Q292" t="str">
        <f t="shared" si="33"/>
        <v>Q3</v>
      </c>
      <c r="R292" t="str">
        <f t="shared" si="34"/>
        <v>Low</v>
      </c>
    </row>
    <row r="293" spans="1:18" x14ac:dyDescent="0.3">
      <c r="A293" s="6" t="s">
        <v>482</v>
      </c>
      <c r="B293" s="7">
        <v>45791</v>
      </c>
      <c r="C293" s="6" t="s">
        <v>386</v>
      </c>
      <c r="D293" s="6" t="s">
        <v>21</v>
      </c>
      <c r="E293" s="6" t="s">
        <v>22</v>
      </c>
      <c r="F293" s="6" t="s">
        <v>56</v>
      </c>
      <c r="G293" s="6" t="s">
        <v>57</v>
      </c>
      <c r="H293" s="6">
        <v>12</v>
      </c>
      <c r="I293" s="8">
        <v>554.87</v>
      </c>
      <c r="J293" s="8">
        <v>493.78</v>
      </c>
      <c r="K293" s="6" t="s">
        <v>25</v>
      </c>
      <c r="L293" s="9">
        <f t="shared" si="28"/>
        <v>6658.4400000000005</v>
      </c>
      <c r="M293" s="10">
        <f t="shared" si="29"/>
        <v>5925.36</v>
      </c>
      <c r="N293" s="10">
        <f t="shared" si="30"/>
        <v>733.08000000000084</v>
      </c>
      <c r="O293" s="11">
        <f t="shared" si="31"/>
        <v>0.11009786076017818</v>
      </c>
      <c r="P293" t="str">
        <f t="shared" si="32"/>
        <v>May</v>
      </c>
      <c r="Q293" t="str">
        <f t="shared" si="33"/>
        <v>Q2</v>
      </c>
      <c r="R293" t="str">
        <f t="shared" si="34"/>
        <v>Low</v>
      </c>
    </row>
    <row r="294" spans="1:18" x14ac:dyDescent="0.3">
      <c r="A294" s="6" t="s">
        <v>483</v>
      </c>
      <c r="B294" s="7">
        <v>45786</v>
      </c>
      <c r="C294" s="6" t="s">
        <v>229</v>
      </c>
      <c r="D294" s="6" t="s">
        <v>55</v>
      </c>
      <c r="E294" s="6" t="s">
        <v>22</v>
      </c>
      <c r="F294" s="6" t="s">
        <v>56</v>
      </c>
      <c r="G294" s="6" t="s">
        <v>60</v>
      </c>
      <c r="H294" s="6">
        <v>8</v>
      </c>
      <c r="I294" s="8">
        <v>1189.42</v>
      </c>
      <c r="J294" s="8">
        <v>786.98</v>
      </c>
      <c r="K294" s="6" t="s">
        <v>41</v>
      </c>
      <c r="L294" s="9">
        <f t="shared" si="28"/>
        <v>9515.36</v>
      </c>
      <c r="M294" s="10">
        <f t="shared" si="29"/>
        <v>6295.84</v>
      </c>
      <c r="N294" s="10">
        <f t="shared" si="30"/>
        <v>3219.5200000000004</v>
      </c>
      <c r="O294" s="11">
        <f t="shared" si="31"/>
        <v>0.33834978392830123</v>
      </c>
      <c r="P294" t="str">
        <f t="shared" si="32"/>
        <v>May</v>
      </c>
      <c r="Q294" t="str">
        <f t="shared" si="33"/>
        <v>Q2</v>
      </c>
      <c r="R294" t="str">
        <f t="shared" si="34"/>
        <v>Low</v>
      </c>
    </row>
    <row r="295" spans="1:18" x14ac:dyDescent="0.3">
      <c r="A295" s="6" t="s">
        <v>484</v>
      </c>
      <c r="B295" s="7">
        <v>45868</v>
      </c>
      <c r="C295" s="6" t="s">
        <v>123</v>
      </c>
      <c r="D295" s="6" t="s">
        <v>21</v>
      </c>
      <c r="E295" s="6" t="s">
        <v>22</v>
      </c>
      <c r="F295" s="6" t="s">
        <v>56</v>
      </c>
      <c r="G295" s="6" t="s">
        <v>60</v>
      </c>
      <c r="H295" s="6">
        <v>19</v>
      </c>
      <c r="I295" s="8">
        <v>516.34</v>
      </c>
      <c r="J295" s="8">
        <v>440.49</v>
      </c>
      <c r="K295" s="6" t="s">
        <v>32</v>
      </c>
      <c r="L295" s="9">
        <f t="shared" si="28"/>
        <v>9810.4600000000009</v>
      </c>
      <c r="M295" s="10">
        <f t="shared" si="29"/>
        <v>8369.31</v>
      </c>
      <c r="N295" s="10">
        <f t="shared" si="30"/>
        <v>1441.1500000000015</v>
      </c>
      <c r="O295" s="11">
        <f t="shared" si="31"/>
        <v>0.14689932989890395</v>
      </c>
      <c r="P295" t="str">
        <f t="shared" si="32"/>
        <v>July</v>
      </c>
      <c r="Q295" t="str">
        <f t="shared" si="33"/>
        <v>Q3</v>
      </c>
      <c r="R295" t="str">
        <f t="shared" si="34"/>
        <v>Low</v>
      </c>
    </row>
    <row r="296" spans="1:18" x14ac:dyDescent="0.3">
      <c r="A296" s="6" t="s">
        <v>485</v>
      </c>
      <c r="B296" s="7">
        <v>45857</v>
      </c>
      <c r="C296" s="6" t="s">
        <v>372</v>
      </c>
      <c r="D296" s="6" t="s">
        <v>38</v>
      </c>
      <c r="E296" s="6" t="s">
        <v>22</v>
      </c>
      <c r="F296" s="6" t="s">
        <v>68</v>
      </c>
      <c r="G296" s="6" t="s">
        <v>65</v>
      </c>
      <c r="H296" s="6">
        <v>6</v>
      </c>
      <c r="I296" s="8">
        <v>1063.6500000000001</v>
      </c>
      <c r="J296" s="8">
        <v>779.55</v>
      </c>
      <c r="K296" s="6" t="s">
        <v>32</v>
      </c>
      <c r="L296" s="9">
        <f t="shared" si="28"/>
        <v>6381.9000000000005</v>
      </c>
      <c r="M296" s="10">
        <f t="shared" si="29"/>
        <v>4677.2999999999993</v>
      </c>
      <c r="N296" s="10">
        <f t="shared" si="30"/>
        <v>1704.6000000000013</v>
      </c>
      <c r="O296" s="11">
        <f t="shared" si="31"/>
        <v>0.26709913975461869</v>
      </c>
      <c r="P296" t="str">
        <f t="shared" si="32"/>
        <v>July</v>
      </c>
      <c r="Q296" t="str">
        <f t="shared" si="33"/>
        <v>Q3</v>
      </c>
      <c r="R296" t="str">
        <f t="shared" si="34"/>
        <v>Low</v>
      </c>
    </row>
    <row r="297" spans="1:18" x14ac:dyDescent="0.3">
      <c r="A297" s="6" t="s">
        <v>486</v>
      </c>
      <c r="B297" s="7">
        <v>45743</v>
      </c>
      <c r="C297" s="6" t="s">
        <v>141</v>
      </c>
      <c r="D297" s="6" t="s">
        <v>38</v>
      </c>
      <c r="E297" s="6" t="s">
        <v>46</v>
      </c>
      <c r="F297" s="6" t="s">
        <v>85</v>
      </c>
      <c r="G297" s="6" t="s">
        <v>60</v>
      </c>
      <c r="H297" s="6">
        <v>15</v>
      </c>
      <c r="I297" s="8">
        <v>641.38</v>
      </c>
      <c r="J297" s="8">
        <v>374.24</v>
      </c>
      <c r="K297" s="6" t="s">
        <v>25</v>
      </c>
      <c r="L297" s="9">
        <f t="shared" si="28"/>
        <v>9620.7000000000007</v>
      </c>
      <c r="M297" s="10">
        <f t="shared" si="29"/>
        <v>5613.6</v>
      </c>
      <c r="N297" s="10">
        <f t="shared" si="30"/>
        <v>4007.1000000000004</v>
      </c>
      <c r="O297" s="11">
        <f t="shared" si="31"/>
        <v>0.4165081542923072</v>
      </c>
      <c r="P297" t="str">
        <f t="shared" si="32"/>
        <v>March</v>
      </c>
      <c r="Q297" t="str">
        <f t="shared" si="33"/>
        <v>Q1</v>
      </c>
      <c r="R297" t="str">
        <f t="shared" si="34"/>
        <v>Low</v>
      </c>
    </row>
    <row r="298" spans="1:18" x14ac:dyDescent="0.3">
      <c r="A298" s="6" t="s">
        <v>487</v>
      </c>
      <c r="B298" s="7">
        <v>45984</v>
      </c>
      <c r="C298" s="6" t="s">
        <v>477</v>
      </c>
      <c r="D298" s="6" t="s">
        <v>55</v>
      </c>
      <c r="E298" s="6" t="s">
        <v>46</v>
      </c>
      <c r="F298" s="6" t="s">
        <v>73</v>
      </c>
      <c r="G298" s="6" t="s">
        <v>60</v>
      </c>
      <c r="H298" s="6">
        <v>8</v>
      </c>
      <c r="I298" s="8">
        <v>256.33</v>
      </c>
      <c r="J298" s="8">
        <v>153.16999999999999</v>
      </c>
      <c r="K298" s="6" t="s">
        <v>25</v>
      </c>
      <c r="L298" s="9">
        <f t="shared" si="28"/>
        <v>2050.64</v>
      </c>
      <c r="M298" s="10">
        <f t="shared" si="29"/>
        <v>1225.3599999999999</v>
      </c>
      <c r="N298" s="10">
        <f t="shared" si="30"/>
        <v>825.28</v>
      </c>
      <c r="O298" s="11">
        <f t="shared" si="31"/>
        <v>0.40244996683962081</v>
      </c>
      <c r="P298" t="str">
        <f t="shared" si="32"/>
        <v>November</v>
      </c>
      <c r="Q298" t="str">
        <f t="shared" si="33"/>
        <v>Q4</v>
      </c>
      <c r="R298" t="str">
        <f t="shared" si="34"/>
        <v>Low</v>
      </c>
    </row>
    <row r="299" spans="1:18" x14ac:dyDescent="0.3">
      <c r="A299" s="6" t="s">
        <v>488</v>
      </c>
      <c r="B299" s="7">
        <v>45787</v>
      </c>
      <c r="C299" s="6" t="s">
        <v>277</v>
      </c>
      <c r="D299" s="6" t="s">
        <v>38</v>
      </c>
      <c r="E299" s="6" t="s">
        <v>22</v>
      </c>
      <c r="F299" s="6" t="s">
        <v>56</v>
      </c>
      <c r="G299" s="6" t="s">
        <v>65</v>
      </c>
      <c r="H299" s="6">
        <v>10</v>
      </c>
      <c r="I299" s="8">
        <v>425.19</v>
      </c>
      <c r="J299" s="8">
        <v>287.68</v>
      </c>
      <c r="K299" s="6" t="s">
        <v>41</v>
      </c>
      <c r="L299" s="9">
        <f t="shared" si="28"/>
        <v>4251.8999999999996</v>
      </c>
      <c r="M299" s="10">
        <f t="shared" si="29"/>
        <v>2876.8</v>
      </c>
      <c r="N299" s="10">
        <f t="shared" si="30"/>
        <v>1375.0999999999995</v>
      </c>
      <c r="O299" s="11">
        <f t="shared" si="31"/>
        <v>0.32340835861614797</v>
      </c>
      <c r="P299" t="str">
        <f t="shared" si="32"/>
        <v>May</v>
      </c>
      <c r="Q299" t="str">
        <f t="shared" si="33"/>
        <v>Q2</v>
      </c>
      <c r="R299" t="str">
        <f t="shared" si="34"/>
        <v>Low</v>
      </c>
    </row>
    <row r="300" spans="1:18" x14ac:dyDescent="0.3">
      <c r="A300" s="6" t="s">
        <v>489</v>
      </c>
      <c r="B300" s="7">
        <v>45867</v>
      </c>
      <c r="C300" s="6" t="s">
        <v>195</v>
      </c>
      <c r="D300" s="6" t="s">
        <v>55</v>
      </c>
      <c r="E300" s="6" t="s">
        <v>29</v>
      </c>
      <c r="F300" s="6" t="s">
        <v>35</v>
      </c>
      <c r="G300" s="6" t="s">
        <v>65</v>
      </c>
      <c r="H300" s="6">
        <v>14</v>
      </c>
      <c r="I300" s="8">
        <v>1167.32</v>
      </c>
      <c r="J300" s="8">
        <v>749.98</v>
      </c>
      <c r="K300" s="6" t="s">
        <v>25</v>
      </c>
      <c r="L300" s="9">
        <f t="shared" si="28"/>
        <v>16342.48</v>
      </c>
      <c r="M300" s="10">
        <f t="shared" si="29"/>
        <v>10499.720000000001</v>
      </c>
      <c r="N300" s="10">
        <f t="shared" si="30"/>
        <v>5842.7599999999984</v>
      </c>
      <c r="O300" s="11">
        <f t="shared" si="31"/>
        <v>0.35751978891820574</v>
      </c>
      <c r="P300" t="str">
        <f t="shared" si="32"/>
        <v>July</v>
      </c>
      <c r="Q300" t="str">
        <f t="shared" si="33"/>
        <v>Q3</v>
      </c>
      <c r="R300" t="str">
        <f t="shared" si="34"/>
        <v>High</v>
      </c>
    </row>
    <row r="301" spans="1:18" x14ac:dyDescent="0.3">
      <c r="A301" s="6" t="s">
        <v>490</v>
      </c>
      <c r="B301" s="7">
        <v>45929</v>
      </c>
      <c r="C301" s="6" t="s">
        <v>491</v>
      </c>
      <c r="D301" s="6" t="s">
        <v>38</v>
      </c>
      <c r="E301" s="6" t="s">
        <v>29</v>
      </c>
      <c r="F301" s="6" t="s">
        <v>30</v>
      </c>
      <c r="G301" s="6" t="s">
        <v>24</v>
      </c>
      <c r="H301" s="6">
        <v>14</v>
      </c>
      <c r="I301" s="8">
        <v>510.49</v>
      </c>
      <c r="J301" s="8">
        <v>415.2</v>
      </c>
      <c r="K301" s="6" t="s">
        <v>25</v>
      </c>
      <c r="L301" s="9">
        <f t="shared" si="28"/>
        <v>7146.8600000000006</v>
      </c>
      <c r="M301" s="10">
        <f t="shared" si="29"/>
        <v>5812.8</v>
      </c>
      <c r="N301" s="10">
        <f t="shared" si="30"/>
        <v>1334.0600000000004</v>
      </c>
      <c r="O301" s="11">
        <f t="shared" si="31"/>
        <v>0.18666379361006097</v>
      </c>
      <c r="P301" t="str">
        <f t="shared" si="32"/>
        <v>September</v>
      </c>
      <c r="Q301" t="str">
        <f t="shared" si="33"/>
        <v>Q3</v>
      </c>
      <c r="R301" t="str">
        <f t="shared" si="34"/>
        <v>Low</v>
      </c>
    </row>
    <row r="302" spans="1:18" x14ac:dyDescent="0.3">
      <c r="A302" s="6" t="s">
        <v>492</v>
      </c>
      <c r="B302" s="7">
        <v>45896</v>
      </c>
      <c r="C302" s="6" t="s">
        <v>120</v>
      </c>
      <c r="D302" s="6" t="s">
        <v>21</v>
      </c>
      <c r="E302" s="6" t="s">
        <v>46</v>
      </c>
      <c r="F302" s="6" t="s">
        <v>73</v>
      </c>
      <c r="G302" s="6" t="s">
        <v>40</v>
      </c>
      <c r="H302" s="6">
        <v>9</v>
      </c>
      <c r="I302" s="8">
        <v>186.1</v>
      </c>
      <c r="J302" s="8">
        <v>131.04</v>
      </c>
      <c r="K302" s="6" t="s">
        <v>25</v>
      </c>
      <c r="L302" s="9">
        <f t="shared" si="28"/>
        <v>1674.8999999999999</v>
      </c>
      <c r="M302" s="10">
        <f t="shared" si="29"/>
        <v>1179.3599999999999</v>
      </c>
      <c r="N302" s="10">
        <f t="shared" si="30"/>
        <v>495.53999999999996</v>
      </c>
      <c r="O302" s="11">
        <f t="shared" si="31"/>
        <v>0.29586243954862979</v>
      </c>
      <c r="P302" t="str">
        <f t="shared" si="32"/>
        <v>August</v>
      </c>
      <c r="Q302" t="str">
        <f t="shared" si="33"/>
        <v>Q3</v>
      </c>
      <c r="R302" t="str">
        <f t="shared" si="34"/>
        <v>Low</v>
      </c>
    </row>
    <row r="303" spans="1:18" x14ac:dyDescent="0.3">
      <c r="A303" s="6" t="s">
        <v>493</v>
      </c>
      <c r="B303" s="7">
        <v>46000</v>
      </c>
      <c r="C303" s="6" t="s">
        <v>397</v>
      </c>
      <c r="D303" s="6" t="s">
        <v>55</v>
      </c>
      <c r="E303" s="6" t="s">
        <v>29</v>
      </c>
      <c r="F303" s="6" t="s">
        <v>35</v>
      </c>
      <c r="G303" s="6" t="s">
        <v>60</v>
      </c>
      <c r="H303" s="6">
        <v>2</v>
      </c>
      <c r="I303" s="8">
        <v>315.29000000000002</v>
      </c>
      <c r="J303" s="8">
        <v>236.86</v>
      </c>
      <c r="K303" s="6" t="s">
        <v>41</v>
      </c>
      <c r="L303" s="9">
        <f t="shared" si="28"/>
        <v>630.58000000000004</v>
      </c>
      <c r="M303" s="10">
        <f t="shared" si="29"/>
        <v>473.72</v>
      </c>
      <c r="N303" s="10">
        <f t="shared" si="30"/>
        <v>156.86000000000001</v>
      </c>
      <c r="O303" s="11">
        <f t="shared" si="31"/>
        <v>0.24875511433917979</v>
      </c>
      <c r="P303" t="str">
        <f t="shared" si="32"/>
        <v>December</v>
      </c>
      <c r="Q303" t="str">
        <f t="shared" si="33"/>
        <v>Q4</v>
      </c>
      <c r="R303" t="str">
        <f t="shared" si="34"/>
        <v>Low</v>
      </c>
    </row>
    <row r="304" spans="1:18" x14ac:dyDescent="0.3">
      <c r="A304" s="6" t="s">
        <v>494</v>
      </c>
      <c r="B304" s="7">
        <v>45810</v>
      </c>
      <c r="C304" s="6" t="s">
        <v>455</v>
      </c>
      <c r="D304" s="6" t="s">
        <v>55</v>
      </c>
      <c r="E304" s="6" t="s">
        <v>46</v>
      </c>
      <c r="F304" s="6" t="s">
        <v>47</v>
      </c>
      <c r="G304" s="6" t="s">
        <v>24</v>
      </c>
      <c r="H304" s="6">
        <v>2</v>
      </c>
      <c r="I304" s="8">
        <v>5.2</v>
      </c>
      <c r="J304" s="8">
        <v>3.15</v>
      </c>
      <c r="K304" s="6" t="s">
        <v>25</v>
      </c>
      <c r="L304" s="9">
        <f t="shared" si="28"/>
        <v>10.4</v>
      </c>
      <c r="M304" s="10">
        <f t="shared" si="29"/>
        <v>6.3</v>
      </c>
      <c r="N304" s="10">
        <f t="shared" si="30"/>
        <v>4.1000000000000005</v>
      </c>
      <c r="O304" s="11">
        <f t="shared" si="31"/>
        <v>0.39423076923076927</v>
      </c>
      <c r="P304" t="str">
        <f t="shared" si="32"/>
        <v>June</v>
      </c>
      <c r="Q304" t="str">
        <f t="shared" si="33"/>
        <v>Q2</v>
      </c>
      <c r="R304" t="str">
        <f t="shared" si="34"/>
        <v>Low</v>
      </c>
    </row>
    <row r="305" spans="1:18" x14ac:dyDescent="0.3">
      <c r="A305" s="6" t="s">
        <v>495</v>
      </c>
      <c r="B305" s="7">
        <v>45750</v>
      </c>
      <c r="C305" s="6" t="s">
        <v>377</v>
      </c>
      <c r="D305" s="6" t="s">
        <v>21</v>
      </c>
      <c r="E305" s="6" t="s">
        <v>22</v>
      </c>
      <c r="F305" s="6" t="s">
        <v>68</v>
      </c>
      <c r="G305" s="6" t="s">
        <v>31</v>
      </c>
      <c r="H305" s="6">
        <v>16</v>
      </c>
      <c r="I305" s="8">
        <v>1339.69</v>
      </c>
      <c r="J305" s="8">
        <v>800.67</v>
      </c>
      <c r="K305" s="6" t="s">
        <v>25</v>
      </c>
      <c r="L305" s="9">
        <f t="shared" si="28"/>
        <v>21435.040000000001</v>
      </c>
      <c r="M305" s="10">
        <f t="shared" si="29"/>
        <v>12810.72</v>
      </c>
      <c r="N305" s="10">
        <f t="shared" si="30"/>
        <v>8624.3200000000015</v>
      </c>
      <c r="O305" s="11">
        <f t="shared" si="31"/>
        <v>0.40234681157581237</v>
      </c>
      <c r="P305" t="str">
        <f t="shared" si="32"/>
        <v>April</v>
      </c>
      <c r="Q305" t="str">
        <f t="shared" si="33"/>
        <v>Q2</v>
      </c>
      <c r="R305" t="str">
        <f t="shared" si="34"/>
        <v>High</v>
      </c>
    </row>
    <row r="306" spans="1:18" x14ac:dyDescent="0.3">
      <c r="A306" s="6" t="s">
        <v>496</v>
      </c>
      <c r="B306" s="7">
        <v>45718</v>
      </c>
      <c r="C306" s="6" t="s">
        <v>116</v>
      </c>
      <c r="D306" s="6" t="s">
        <v>28</v>
      </c>
      <c r="E306" s="6" t="s">
        <v>29</v>
      </c>
      <c r="F306" s="6" t="s">
        <v>30</v>
      </c>
      <c r="G306" s="6" t="s">
        <v>60</v>
      </c>
      <c r="H306" s="6">
        <v>19</v>
      </c>
      <c r="I306" s="8">
        <v>771.08</v>
      </c>
      <c r="J306" s="8">
        <v>470.78</v>
      </c>
      <c r="K306" s="6" t="s">
        <v>41</v>
      </c>
      <c r="L306" s="9">
        <f t="shared" si="28"/>
        <v>14650.52</v>
      </c>
      <c r="M306" s="10">
        <f t="shared" si="29"/>
        <v>8944.82</v>
      </c>
      <c r="N306" s="10">
        <f t="shared" si="30"/>
        <v>5705.7000000000007</v>
      </c>
      <c r="O306" s="11">
        <f t="shared" si="31"/>
        <v>0.38945375317736164</v>
      </c>
      <c r="P306" t="str">
        <f t="shared" si="32"/>
        <v>March</v>
      </c>
      <c r="Q306" t="str">
        <f t="shared" si="33"/>
        <v>Q1</v>
      </c>
      <c r="R306" t="str">
        <f t="shared" si="34"/>
        <v>High</v>
      </c>
    </row>
    <row r="307" spans="1:18" x14ac:dyDescent="0.3">
      <c r="A307" s="6" t="s">
        <v>497</v>
      </c>
      <c r="B307" s="7">
        <v>45725</v>
      </c>
      <c r="C307" s="6" t="s">
        <v>164</v>
      </c>
      <c r="D307" s="6" t="s">
        <v>38</v>
      </c>
      <c r="E307" s="6" t="s">
        <v>29</v>
      </c>
      <c r="F307" s="6" t="s">
        <v>39</v>
      </c>
      <c r="G307" s="6" t="s">
        <v>57</v>
      </c>
      <c r="H307" s="6">
        <v>8</v>
      </c>
      <c r="I307" s="8">
        <v>1170.27</v>
      </c>
      <c r="J307" s="8">
        <v>865.8</v>
      </c>
      <c r="K307" s="6" t="s">
        <v>41</v>
      </c>
      <c r="L307" s="9">
        <f t="shared" si="28"/>
        <v>9362.16</v>
      </c>
      <c r="M307" s="10">
        <f t="shared" si="29"/>
        <v>6926.4</v>
      </c>
      <c r="N307" s="10">
        <f t="shared" si="30"/>
        <v>2435.7600000000002</v>
      </c>
      <c r="O307" s="11">
        <f t="shared" si="31"/>
        <v>0.26017072983157735</v>
      </c>
      <c r="P307" t="str">
        <f t="shared" si="32"/>
        <v>March</v>
      </c>
      <c r="Q307" t="str">
        <f t="shared" si="33"/>
        <v>Q1</v>
      </c>
      <c r="R307" t="str">
        <f t="shared" si="34"/>
        <v>Low</v>
      </c>
    </row>
    <row r="308" spans="1:18" x14ac:dyDescent="0.3">
      <c r="A308" s="6" t="s">
        <v>498</v>
      </c>
      <c r="B308" s="7">
        <v>45945</v>
      </c>
      <c r="C308" s="6" t="s">
        <v>499</v>
      </c>
      <c r="D308" s="6" t="s">
        <v>28</v>
      </c>
      <c r="E308" s="6" t="s">
        <v>22</v>
      </c>
      <c r="F308" s="6" t="s">
        <v>68</v>
      </c>
      <c r="G308" s="6" t="s">
        <v>60</v>
      </c>
      <c r="H308" s="6">
        <v>8</v>
      </c>
      <c r="I308" s="8">
        <v>299.58</v>
      </c>
      <c r="J308" s="8">
        <v>207.96</v>
      </c>
      <c r="K308" s="6" t="s">
        <v>32</v>
      </c>
      <c r="L308" s="9">
        <f t="shared" si="28"/>
        <v>2396.64</v>
      </c>
      <c r="M308" s="10">
        <f t="shared" si="29"/>
        <v>1663.68</v>
      </c>
      <c r="N308" s="10">
        <f t="shared" si="30"/>
        <v>732.95999999999981</v>
      </c>
      <c r="O308" s="11">
        <f t="shared" si="31"/>
        <v>0.30582815942319241</v>
      </c>
      <c r="P308" t="str">
        <f t="shared" si="32"/>
        <v>October</v>
      </c>
      <c r="Q308" t="str">
        <f t="shared" si="33"/>
        <v>Q4</v>
      </c>
      <c r="R308" t="str">
        <f t="shared" si="34"/>
        <v>Low</v>
      </c>
    </row>
    <row r="309" spans="1:18" x14ac:dyDescent="0.3">
      <c r="A309" s="6" t="s">
        <v>500</v>
      </c>
      <c r="B309" s="7">
        <v>45827</v>
      </c>
      <c r="C309" s="6" t="s">
        <v>94</v>
      </c>
      <c r="D309" s="6" t="s">
        <v>38</v>
      </c>
      <c r="E309" s="6" t="s">
        <v>46</v>
      </c>
      <c r="F309" s="6" t="s">
        <v>73</v>
      </c>
      <c r="G309" s="6" t="s">
        <v>24</v>
      </c>
      <c r="H309" s="6">
        <v>1</v>
      </c>
      <c r="I309" s="8">
        <v>1059.6500000000001</v>
      </c>
      <c r="J309" s="8">
        <v>831.24</v>
      </c>
      <c r="K309" s="6" t="s">
        <v>41</v>
      </c>
      <c r="L309" s="9">
        <f t="shared" si="28"/>
        <v>1059.6500000000001</v>
      </c>
      <c r="M309" s="10">
        <f t="shared" si="29"/>
        <v>831.24</v>
      </c>
      <c r="N309" s="10">
        <f t="shared" si="30"/>
        <v>228.41000000000008</v>
      </c>
      <c r="O309" s="11">
        <f t="shared" si="31"/>
        <v>0.2155523050063701</v>
      </c>
      <c r="P309" t="str">
        <f t="shared" si="32"/>
        <v>June</v>
      </c>
      <c r="Q309" t="str">
        <f t="shared" si="33"/>
        <v>Q2</v>
      </c>
      <c r="R309" t="str">
        <f t="shared" si="34"/>
        <v>Low</v>
      </c>
    </row>
    <row r="310" spans="1:18" x14ac:dyDescent="0.3">
      <c r="A310" s="6" t="s">
        <v>501</v>
      </c>
      <c r="B310" s="7">
        <v>45765</v>
      </c>
      <c r="C310" s="6" t="s">
        <v>502</v>
      </c>
      <c r="D310" s="6" t="s">
        <v>28</v>
      </c>
      <c r="E310" s="6" t="s">
        <v>46</v>
      </c>
      <c r="F310" s="6" t="s">
        <v>80</v>
      </c>
      <c r="G310" s="6" t="s">
        <v>40</v>
      </c>
      <c r="H310" s="6">
        <v>17</v>
      </c>
      <c r="I310" s="8">
        <v>252.38</v>
      </c>
      <c r="J310" s="8">
        <v>191.18</v>
      </c>
      <c r="K310" s="6" t="s">
        <v>32</v>
      </c>
      <c r="L310" s="9">
        <f t="shared" si="28"/>
        <v>4290.46</v>
      </c>
      <c r="M310" s="10">
        <f t="shared" si="29"/>
        <v>3250.06</v>
      </c>
      <c r="N310" s="10">
        <f t="shared" si="30"/>
        <v>1040.4000000000001</v>
      </c>
      <c r="O310" s="11">
        <f t="shared" si="31"/>
        <v>0.24249148109992869</v>
      </c>
      <c r="P310" t="str">
        <f t="shared" si="32"/>
        <v>April</v>
      </c>
      <c r="Q310" t="str">
        <f t="shared" si="33"/>
        <v>Q2</v>
      </c>
      <c r="R310" t="str">
        <f t="shared" si="34"/>
        <v>Low</v>
      </c>
    </row>
    <row r="311" spans="1:18" x14ac:dyDescent="0.3">
      <c r="A311" s="6" t="s">
        <v>503</v>
      </c>
      <c r="B311" s="7">
        <v>45998</v>
      </c>
      <c r="C311" s="6" t="s">
        <v>179</v>
      </c>
      <c r="D311" s="6" t="s">
        <v>21</v>
      </c>
      <c r="E311" s="6" t="s">
        <v>29</v>
      </c>
      <c r="F311" s="6" t="s">
        <v>50</v>
      </c>
      <c r="G311" s="6" t="s">
        <v>65</v>
      </c>
      <c r="H311" s="6">
        <v>12</v>
      </c>
      <c r="I311" s="8">
        <v>1355.35</v>
      </c>
      <c r="J311" s="8">
        <v>1044.8699999999999</v>
      </c>
      <c r="K311" s="6" t="s">
        <v>25</v>
      </c>
      <c r="L311" s="9">
        <f t="shared" si="28"/>
        <v>16264.199999999999</v>
      </c>
      <c r="M311" s="10">
        <f t="shared" si="29"/>
        <v>12538.439999999999</v>
      </c>
      <c r="N311" s="10">
        <f t="shared" si="30"/>
        <v>3725.76</v>
      </c>
      <c r="O311" s="11">
        <f t="shared" si="31"/>
        <v>0.22907736009148932</v>
      </c>
      <c r="P311" t="str">
        <f t="shared" si="32"/>
        <v>December</v>
      </c>
      <c r="Q311" t="str">
        <f t="shared" si="33"/>
        <v>Q4</v>
      </c>
      <c r="R311" t="str">
        <f t="shared" si="34"/>
        <v>High</v>
      </c>
    </row>
    <row r="312" spans="1:18" x14ac:dyDescent="0.3">
      <c r="A312" s="6" t="s">
        <v>504</v>
      </c>
      <c r="B312" s="7">
        <v>45934</v>
      </c>
      <c r="C312" s="6" t="s">
        <v>305</v>
      </c>
      <c r="D312" s="6" t="s">
        <v>21</v>
      </c>
      <c r="E312" s="6" t="s">
        <v>22</v>
      </c>
      <c r="F312" s="6" t="s">
        <v>68</v>
      </c>
      <c r="G312" s="6" t="s">
        <v>40</v>
      </c>
      <c r="H312" s="6">
        <v>1</v>
      </c>
      <c r="I312" s="8">
        <v>857.32</v>
      </c>
      <c r="J312" s="8">
        <v>770.46</v>
      </c>
      <c r="K312" s="6" t="s">
        <v>25</v>
      </c>
      <c r="L312" s="9">
        <f t="shared" si="28"/>
        <v>857.32</v>
      </c>
      <c r="M312" s="10">
        <f t="shared" si="29"/>
        <v>770.46</v>
      </c>
      <c r="N312" s="10">
        <f t="shared" si="30"/>
        <v>86.860000000000014</v>
      </c>
      <c r="O312" s="11">
        <f t="shared" si="31"/>
        <v>0.10131572808286289</v>
      </c>
      <c r="P312" t="str">
        <f t="shared" si="32"/>
        <v>October</v>
      </c>
      <c r="Q312" t="str">
        <f t="shared" si="33"/>
        <v>Q4</v>
      </c>
      <c r="R312" t="str">
        <f t="shared" si="34"/>
        <v>Low</v>
      </c>
    </row>
    <row r="313" spans="1:18" x14ac:dyDescent="0.3">
      <c r="A313" s="6" t="s">
        <v>505</v>
      </c>
      <c r="B313" s="7">
        <v>45787</v>
      </c>
      <c r="C313" s="6" t="s">
        <v>331</v>
      </c>
      <c r="D313" s="6" t="s">
        <v>55</v>
      </c>
      <c r="E313" s="6" t="s">
        <v>22</v>
      </c>
      <c r="F313" s="6" t="s">
        <v>56</v>
      </c>
      <c r="G313" s="6" t="s">
        <v>31</v>
      </c>
      <c r="H313" s="6">
        <v>13</v>
      </c>
      <c r="I313" s="8">
        <v>1376.66</v>
      </c>
      <c r="J313" s="8">
        <v>1153.1099999999999</v>
      </c>
      <c r="K313" s="6" t="s">
        <v>41</v>
      </c>
      <c r="L313" s="9">
        <f t="shared" si="28"/>
        <v>17896.580000000002</v>
      </c>
      <c r="M313" s="10">
        <f t="shared" si="29"/>
        <v>14990.429999999998</v>
      </c>
      <c r="N313" s="10">
        <f t="shared" si="30"/>
        <v>2906.1500000000033</v>
      </c>
      <c r="O313" s="11">
        <f t="shared" si="31"/>
        <v>0.16238577426525086</v>
      </c>
      <c r="P313" t="str">
        <f t="shared" si="32"/>
        <v>May</v>
      </c>
      <c r="Q313" t="str">
        <f t="shared" si="33"/>
        <v>Q2</v>
      </c>
      <c r="R313" t="str">
        <f t="shared" si="34"/>
        <v>High</v>
      </c>
    </row>
    <row r="314" spans="1:18" x14ac:dyDescent="0.3">
      <c r="A314" s="6" t="s">
        <v>506</v>
      </c>
      <c r="B314" s="7">
        <v>45688</v>
      </c>
      <c r="C314" s="6" t="s">
        <v>427</v>
      </c>
      <c r="D314" s="6" t="s">
        <v>28</v>
      </c>
      <c r="E314" s="6" t="s">
        <v>46</v>
      </c>
      <c r="F314" s="6" t="s">
        <v>47</v>
      </c>
      <c r="G314" s="6" t="s">
        <v>60</v>
      </c>
      <c r="H314" s="6">
        <v>19</v>
      </c>
      <c r="I314" s="8">
        <v>1087.43</v>
      </c>
      <c r="J314" s="8">
        <v>845.03</v>
      </c>
      <c r="K314" s="6" t="s">
        <v>32</v>
      </c>
      <c r="L314" s="9">
        <f t="shared" si="28"/>
        <v>20661.170000000002</v>
      </c>
      <c r="M314" s="10">
        <f t="shared" si="29"/>
        <v>16055.57</v>
      </c>
      <c r="N314" s="10">
        <f t="shared" si="30"/>
        <v>4605.6000000000022</v>
      </c>
      <c r="O314" s="11">
        <f t="shared" si="31"/>
        <v>0.22291090001195488</v>
      </c>
      <c r="P314" t="str">
        <f t="shared" si="32"/>
        <v>January</v>
      </c>
      <c r="Q314" t="str">
        <f t="shared" si="33"/>
        <v>Q1</v>
      </c>
      <c r="R314" t="str">
        <f t="shared" si="34"/>
        <v>High</v>
      </c>
    </row>
    <row r="315" spans="1:18" x14ac:dyDescent="0.3">
      <c r="A315" s="6" t="s">
        <v>507</v>
      </c>
      <c r="B315" s="7">
        <v>45663</v>
      </c>
      <c r="C315" s="6" t="s">
        <v>197</v>
      </c>
      <c r="D315" s="6" t="s">
        <v>28</v>
      </c>
      <c r="E315" s="6" t="s">
        <v>22</v>
      </c>
      <c r="F315" s="6" t="s">
        <v>56</v>
      </c>
      <c r="G315" s="6" t="s">
        <v>24</v>
      </c>
      <c r="H315" s="6">
        <v>4</v>
      </c>
      <c r="I315" s="8">
        <v>411.66</v>
      </c>
      <c r="J315" s="8">
        <v>318.66000000000003</v>
      </c>
      <c r="K315" s="6" t="s">
        <v>32</v>
      </c>
      <c r="L315" s="9">
        <f t="shared" si="28"/>
        <v>1646.64</v>
      </c>
      <c r="M315" s="10">
        <f t="shared" si="29"/>
        <v>1274.6400000000001</v>
      </c>
      <c r="N315" s="10">
        <f t="shared" si="30"/>
        <v>372</v>
      </c>
      <c r="O315" s="11">
        <f t="shared" si="31"/>
        <v>0.22591458970995482</v>
      </c>
      <c r="P315" t="str">
        <f t="shared" si="32"/>
        <v>January</v>
      </c>
      <c r="Q315" t="str">
        <f t="shared" si="33"/>
        <v>Q1</v>
      </c>
      <c r="R315" t="str">
        <f t="shared" si="34"/>
        <v>Low</v>
      </c>
    </row>
    <row r="316" spans="1:18" x14ac:dyDescent="0.3">
      <c r="A316" s="6" t="s">
        <v>508</v>
      </c>
      <c r="B316" s="7">
        <v>45984</v>
      </c>
      <c r="C316" s="6" t="s">
        <v>264</v>
      </c>
      <c r="D316" s="6" t="s">
        <v>21</v>
      </c>
      <c r="E316" s="6" t="s">
        <v>29</v>
      </c>
      <c r="F316" s="6" t="s">
        <v>39</v>
      </c>
      <c r="G316" s="6" t="s">
        <v>57</v>
      </c>
      <c r="H316" s="6">
        <v>11</v>
      </c>
      <c r="I316" s="8">
        <v>1298.6500000000001</v>
      </c>
      <c r="J316" s="8">
        <v>1001.31</v>
      </c>
      <c r="K316" s="6" t="s">
        <v>41</v>
      </c>
      <c r="L316" s="9">
        <f t="shared" si="28"/>
        <v>14285.150000000001</v>
      </c>
      <c r="M316" s="10">
        <f t="shared" si="29"/>
        <v>11014.41</v>
      </c>
      <c r="N316" s="10">
        <f t="shared" si="30"/>
        <v>3270.7400000000016</v>
      </c>
      <c r="O316" s="11">
        <f t="shared" si="31"/>
        <v>0.22896084395333624</v>
      </c>
      <c r="P316" t="str">
        <f t="shared" si="32"/>
        <v>November</v>
      </c>
      <c r="Q316" t="str">
        <f t="shared" si="33"/>
        <v>Q4</v>
      </c>
      <c r="R316" t="str">
        <f t="shared" si="34"/>
        <v>High</v>
      </c>
    </row>
    <row r="317" spans="1:18" x14ac:dyDescent="0.3">
      <c r="A317" s="6" t="s">
        <v>509</v>
      </c>
      <c r="B317" s="7">
        <v>45734</v>
      </c>
      <c r="C317" s="6" t="s">
        <v>125</v>
      </c>
      <c r="D317" s="6" t="s">
        <v>38</v>
      </c>
      <c r="E317" s="6" t="s">
        <v>46</v>
      </c>
      <c r="F317" s="6" t="s">
        <v>73</v>
      </c>
      <c r="G317" s="6" t="s">
        <v>65</v>
      </c>
      <c r="H317" s="6">
        <v>9</v>
      </c>
      <c r="I317" s="8">
        <v>958.58</v>
      </c>
      <c r="J317" s="8">
        <v>541.38</v>
      </c>
      <c r="K317" s="6" t="s">
        <v>41</v>
      </c>
      <c r="L317" s="9">
        <f t="shared" si="28"/>
        <v>8627.2200000000012</v>
      </c>
      <c r="M317" s="10">
        <f t="shared" si="29"/>
        <v>4872.42</v>
      </c>
      <c r="N317" s="10">
        <f t="shared" si="30"/>
        <v>3754.8000000000011</v>
      </c>
      <c r="O317" s="11">
        <f t="shared" si="31"/>
        <v>0.43522710676208565</v>
      </c>
      <c r="P317" t="str">
        <f t="shared" si="32"/>
        <v>March</v>
      </c>
      <c r="Q317" t="str">
        <f t="shared" si="33"/>
        <v>Q1</v>
      </c>
      <c r="R317" t="str">
        <f t="shared" si="34"/>
        <v>Low</v>
      </c>
    </row>
    <row r="318" spans="1:18" x14ac:dyDescent="0.3">
      <c r="A318" s="6" t="s">
        <v>510</v>
      </c>
      <c r="B318" s="7">
        <v>45953</v>
      </c>
      <c r="C318" s="6" t="s">
        <v>220</v>
      </c>
      <c r="D318" s="6" t="s">
        <v>55</v>
      </c>
      <c r="E318" s="6" t="s">
        <v>22</v>
      </c>
      <c r="F318" s="6" t="s">
        <v>68</v>
      </c>
      <c r="G318" s="6" t="s">
        <v>24</v>
      </c>
      <c r="H318" s="6">
        <v>16</v>
      </c>
      <c r="I318" s="8">
        <v>946.83</v>
      </c>
      <c r="J318" s="8">
        <v>563.91</v>
      </c>
      <c r="K318" s="6" t="s">
        <v>32</v>
      </c>
      <c r="L318" s="9">
        <f t="shared" si="28"/>
        <v>15149.28</v>
      </c>
      <c r="M318" s="10">
        <f t="shared" si="29"/>
        <v>9022.56</v>
      </c>
      <c r="N318" s="10">
        <f t="shared" si="30"/>
        <v>6126.7200000000012</v>
      </c>
      <c r="O318" s="11">
        <f t="shared" si="31"/>
        <v>0.40442318050758852</v>
      </c>
      <c r="P318" t="str">
        <f t="shared" si="32"/>
        <v>October</v>
      </c>
      <c r="Q318" t="str">
        <f t="shared" si="33"/>
        <v>Q4</v>
      </c>
      <c r="R318" t="str">
        <f t="shared" si="34"/>
        <v>High</v>
      </c>
    </row>
    <row r="319" spans="1:18" x14ac:dyDescent="0.3">
      <c r="A319" s="6" t="s">
        <v>511</v>
      </c>
      <c r="B319" s="7">
        <v>45791</v>
      </c>
      <c r="C319" s="6" t="s">
        <v>272</v>
      </c>
      <c r="D319" s="6" t="s">
        <v>28</v>
      </c>
      <c r="E319" s="6" t="s">
        <v>22</v>
      </c>
      <c r="F319" s="6" t="s">
        <v>23</v>
      </c>
      <c r="G319" s="6" t="s">
        <v>65</v>
      </c>
      <c r="H319" s="6">
        <v>16</v>
      </c>
      <c r="I319" s="8">
        <v>1347.38</v>
      </c>
      <c r="J319" s="8">
        <v>1118.7</v>
      </c>
      <c r="K319" s="6" t="s">
        <v>25</v>
      </c>
      <c r="L319" s="9">
        <f t="shared" si="28"/>
        <v>21558.080000000002</v>
      </c>
      <c r="M319" s="10">
        <f t="shared" si="29"/>
        <v>17899.2</v>
      </c>
      <c r="N319" s="10">
        <f t="shared" si="30"/>
        <v>3658.880000000001</v>
      </c>
      <c r="O319" s="11">
        <f t="shared" si="31"/>
        <v>0.16972197895174343</v>
      </c>
      <c r="P319" t="str">
        <f t="shared" si="32"/>
        <v>May</v>
      </c>
      <c r="Q319" t="str">
        <f t="shared" si="33"/>
        <v>Q2</v>
      </c>
      <c r="R319" t="str">
        <f t="shared" si="34"/>
        <v>High</v>
      </c>
    </row>
    <row r="320" spans="1:18" x14ac:dyDescent="0.3">
      <c r="A320" s="6" t="s">
        <v>512</v>
      </c>
      <c r="B320" s="7">
        <v>45754</v>
      </c>
      <c r="C320" s="6" t="s">
        <v>244</v>
      </c>
      <c r="D320" s="6" t="s">
        <v>28</v>
      </c>
      <c r="E320" s="6" t="s">
        <v>29</v>
      </c>
      <c r="F320" s="6" t="s">
        <v>39</v>
      </c>
      <c r="G320" s="6" t="s">
        <v>31</v>
      </c>
      <c r="H320" s="6">
        <v>5</v>
      </c>
      <c r="I320" s="8">
        <v>35.049999999999997</v>
      </c>
      <c r="J320" s="8">
        <v>28.24</v>
      </c>
      <c r="K320" s="6" t="s">
        <v>32</v>
      </c>
      <c r="L320" s="9">
        <f t="shared" si="28"/>
        <v>175.25</v>
      </c>
      <c r="M320" s="10">
        <f t="shared" si="29"/>
        <v>141.19999999999999</v>
      </c>
      <c r="N320" s="10">
        <f t="shared" si="30"/>
        <v>34.050000000000011</v>
      </c>
      <c r="O320" s="11">
        <f t="shared" si="31"/>
        <v>0.19429386590584885</v>
      </c>
      <c r="P320" t="str">
        <f t="shared" si="32"/>
        <v>April</v>
      </c>
      <c r="Q320" t="str">
        <f t="shared" si="33"/>
        <v>Q2</v>
      </c>
      <c r="R320" t="str">
        <f t="shared" si="34"/>
        <v>Low</v>
      </c>
    </row>
    <row r="321" spans="1:18" x14ac:dyDescent="0.3">
      <c r="A321" s="6" t="s">
        <v>513</v>
      </c>
      <c r="B321" s="7">
        <v>45982</v>
      </c>
      <c r="C321" s="6" t="s">
        <v>189</v>
      </c>
      <c r="D321" s="6" t="s">
        <v>28</v>
      </c>
      <c r="E321" s="6" t="s">
        <v>29</v>
      </c>
      <c r="F321" s="6" t="s">
        <v>39</v>
      </c>
      <c r="G321" s="6" t="s">
        <v>31</v>
      </c>
      <c r="H321" s="6">
        <v>15</v>
      </c>
      <c r="I321" s="8">
        <v>1374.69</v>
      </c>
      <c r="J321" s="8">
        <v>944.46</v>
      </c>
      <c r="K321" s="6" t="s">
        <v>41</v>
      </c>
      <c r="L321" s="9">
        <f t="shared" si="28"/>
        <v>20620.350000000002</v>
      </c>
      <c r="M321" s="10">
        <f t="shared" si="29"/>
        <v>14166.900000000001</v>
      </c>
      <c r="N321" s="10">
        <f t="shared" si="30"/>
        <v>6453.4500000000007</v>
      </c>
      <c r="O321" s="11">
        <f t="shared" si="31"/>
        <v>0.31296510486000478</v>
      </c>
      <c r="P321" t="str">
        <f t="shared" si="32"/>
        <v>November</v>
      </c>
      <c r="Q321" t="str">
        <f t="shared" si="33"/>
        <v>Q4</v>
      </c>
      <c r="R321" t="str">
        <f t="shared" si="34"/>
        <v>High</v>
      </c>
    </row>
    <row r="322" spans="1:18" x14ac:dyDescent="0.3">
      <c r="A322" s="6" t="s">
        <v>514</v>
      </c>
      <c r="B322" s="7">
        <v>45767</v>
      </c>
      <c r="C322" s="6" t="s">
        <v>197</v>
      </c>
      <c r="D322" s="6" t="s">
        <v>21</v>
      </c>
      <c r="E322" s="6" t="s">
        <v>46</v>
      </c>
      <c r="F322" s="6" t="s">
        <v>80</v>
      </c>
      <c r="G322" s="6" t="s">
        <v>60</v>
      </c>
      <c r="H322" s="6">
        <v>12</v>
      </c>
      <c r="I322" s="8">
        <v>255.76</v>
      </c>
      <c r="J322" s="8">
        <v>139.5</v>
      </c>
      <c r="K322" s="6" t="s">
        <v>25</v>
      </c>
      <c r="L322" s="9">
        <f t="shared" si="28"/>
        <v>3069.12</v>
      </c>
      <c r="M322" s="10">
        <f t="shared" si="29"/>
        <v>1674</v>
      </c>
      <c r="N322" s="10">
        <f t="shared" si="30"/>
        <v>1395.12</v>
      </c>
      <c r="O322" s="11">
        <f t="shared" si="31"/>
        <v>0.45456678135752265</v>
      </c>
      <c r="P322" t="str">
        <f t="shared" si="32"/>
        <v>April</v>
      </c>
      <c r="Q322" t="str">
        <f t="shared" si="33"/>
        <v>Q2</v>
      </c>
      <c r="R322" t="str">
        <f t="shared" si="34"/>
        <v>Low</v>
      </c>
    </row>
    <row r="323" spans="1:18" x14ac:dyDescent="0.3">
      <c r="A323" s="6" t="s">
        <v>515</v>
      </c>
      <c r="B323" s="7">
        <v>45993</v>
      </c>
      <c r="C323" s="6" t="s">
        <v>349</v>
      </c>
      <c r="D323" s="6" t="s">
        <v>38</v>
      </c>
      <c r="E323" s="6" t="s">
        <v>22</v>
      </c>
      <c r="F323" s="6" t="s">
        <v>68</v>
      </c>
      <c r="G323" s="6" t="s">
        <v>57</v>
      </c>
      <c r="H323" s="6">
        <v>9</v>
      </c>
      <c r="I323" s="8">
        <v>170.24</v>
      </c>
      <c r="J323" s="8">
        <v>108.26</v>
      </c>
      <c r="K323" s="6" t="s">
        <v>32</v>
      </c>
      <c r="L323" s="9">
        <f t="shared" si="28"/>
        <v>1532.16</v>
      </c>
      <c r="M323" s="10">
        <f t="shared" si="29"/>
        <v>974.34</v>
      </c>
      <c r="N323" s="10">
        <f t="shared" si="30"/>
        <v>557.82000000000005</v>
      </c>
      <c r="O323" s="11">
        <f t="shared" si="31"/>
        <v>0.36407424812030076</v>
      </c>
      <c r="P323" t="str">
        <f t="shared" si="32"/>
        <v>December</v>
      </c>
      <c r="Q323" t="str">
        <f t="shared" si="33"/>
        <v>Q4</v>
      </c>
      <c r="R323" t="str">
        <f t="shared" si="34"/>
        <v>Low</v>
      </c>
    </row>
    <row r="324" spans="1:18" x14ac:dyDescent="0.3">
      <c r="A324" s="6" t="s">
        <v>516</v>
      </c>
      <c r="B324" s="7">
        <v>45784</v>
      </c>
      <c r="C324" s="6" t="s">
        <v>172</v>
      </c>
      <c r="D324" s="6" t="s">
        <v>38</v>
      </c>
      <c r="E324" s="6" t="s">
        <v>22</v>
      </c>
      <c r="F324" s="6" t="s">
        <v>82</v>
      </c>
      <c r="G324" s="6" t="s">
        <v>24</v>
      </c>
      <c r="H324" s="6">
        <v>1</v>
      </c>
      <c r="I324" s="8">
        <v>1409.03</v>
      </c>
      <c r="J324" s="8">
        <v>791.61</v>
      </c>
      <c r="K324" s="6" t="s">
        <v>25</v>
      </c>
      <c r="L324" s="9">
        <f t="shared" si="28"/>
        <v>1409.03</v>
      </c>
      <c r="M324" s="10">
        <f t="shared" si="29"/>
        <v>791.61</v>
      </c>
      <c r="N324" s="10">
        <f t="shared" si="30"/>
        <v>617.41999999999996</v>
      </c>
      <c r="O324" s="11">
        <f t="shared" si="31"/>
        <v>0.43818797328658721</v>
      </c>
      <c r="P324" t="str">
        <f t="shared" si="32"/>
        <v>May</v>
      </c>
      <c r="Q324" t="str">
        <f t="shared" si="33"/>
        <v>Q2</v>
      </c>
      <c r="R324" t="str">
        <f t="shared" si="34"/>
        <v>Low</v>
      </c>
    </row>
    <row r="325" spans="1:18" x14ac:dyDescent="0.3">
      <c r="A325" s="6" t="s">
        <v>517</v>
      </c>
      <c r="B325" s="7">
        <v>45817</v>
      </c>
      <c r="C325" s="6" t="s">
        <v>162</v>
      </c>
      <c r="D325" s="6" t="s">
        <v>38</v>
      </c>
      <c r="E325" s="6" t="s">
        <v>29</v>
      </c>
      <c r="F325" s="6" t="s">
        <v>39</v>
      </c>
      <c r="G325" s="6" t="s">
        <v>40</v>
      </c>
      <c r="H325" s="6">
        <v>13</v>
      </c>
      <c r="I325" s="8">
        <v>601.99</v>
      </c>
      <c r="J325" s="8">
        <v>418.39</v>
      </c>
      <c r="K325" s="6" t="s">
        <v>25</v>
      </c>
      <c r="L325" s="9">
        <f t="shared" si="28"/>
        <v>7825.87</v>
      </c>
      <c r="M325" s="10">
        <f t="shared" si="29"/>
        <v>5439.07</v>
      </c>
      <c r="N325" s="10">
        <f t="shared" si="30"/>
        <v>2386.8000000000002</v>
      </c>
      <c r="O325" s="11">
        <f t="shared" si="31"/>
        <v>0.30498845495772359</v>
      </c>
      <c r="P325" t="str">
        <f t="shared" si="32"/>
        <v>June</v>
      </c>
      <c r="Q325" t="str">
        <f t="shared" si="33"/>
        <v>Q2</v>
      </c>
      <c r="R325" t="str">
        <f t="shared" si="34"/>
        <v>Low</v>
      </c>
    </row>
    <row r="326" spans="1:18" x14ac:dyDescent="0.3">
      <c r="A326" s="6" t="s">
        <v>518</v>
      </c>
      <c r="B326" s="7">
        <v>45934</v>
      </c>
      <c r="C326" s="6" t="s">
        <v>67</v>
      </c>
      <c r="D326" s="6" t="s">
        <v>55</v>
      </c>
      <c r="E326" s="6" t="s">
        <v>46</v>
      </c>
      <c r="F326" s="6" t="s">
        <v>85</v>
      </c>
      <c r="G326" s="6" t="s">
        <v>65</v>
      </c>
      <c r="H326" s="6">
        <v>15</v>
      </c>
      <c r="I326" s="8">
        <v>916.23</v>
      </c>
      <c r="J326" s="8">
        <v>778.41</v>
      </c>
      <c r="K326" s="6" t="s">
        <v>25</v>
      </c>
      <c r="L326" s="9">
        <f t="shared" si="28"/>
        <v>13743.45</v>
      </c>
      <c r="M326" s="10">
        <f t="shared" si="29"/>
        <v>11676.15</v>
      </c>
      <c r="N326" s="10">
        <f t="shared" si="30"/>
        <v>2067.3000000000011</v>
      </c>
      <c r="O326" s="11">
        <f t="shared" si="31"/>
        <v>0.15042074588258414</v>
      </c>
      <c r="P326" t="str">
        <f t="shared" si="32"/>
        <v>October</v>
      </c>
      <c r="Q326" t="str">
        <f t="shared" si="33"/>
        <v>Q4</v>
      </c>
      <c r="R326" t="str">
        <f t="shared" si="34"/>
        <v>High</v>
      </c>
    </row>
    <row r="327" spans="1:18" x14ac:dyDescent="0.3">
      <c r="A327" s="6" t="s">
        <v>519</v>
      </c>
      <c r="B327" s="7">
        <v>45709</v>
      </c>
      <c r="C327" s="6" t="s">
        <v>49</v>
      </c>
      <c r="D327" s="6" t="s">
        <v>55</v>
      </c>
      <c r="E327" s="6" t="s">
        <v>22</v>
      </c>
      <c r="F327" s="6" t="s">
        <v>56</v>
      </c>
      <c r="G327" s="6" t="s">
        <v>24</v>
      </c>
      <c r="H327" s="6">
        <v>18</v>
      </c>
      <c r="I327" s="8">
        <v>564.04</v>
      </c>
      <c r="J327" s="8">
        <v>471.34</v>
      </c>
      <c r="K327" s="6" t="s">
        <v>41</v>
      </c>
      <c r="L327" s="9">
        <f t="shared" ref="L327:L390" si="35">H327*I327</f>
        <v>10152.719999999999</v>
      </c>
      <c r="M327" s="10">
        <f t="shared" ref="M327:M390" si="36">H327*J327</f>
        <v>8484.119999999999</v>
      </c>
      <c r="N327" s="10">
        <f t="shared" ref="N327:N390" si="37">L327-M327</f>
        <v>1668.6000000000004</v>
      </c>
      <c r="O327" s="11">
        <f t="shared" ref="O327:O390" si="38">N327/L327</f>
        <v>0.16435004609602161</v>
      </c>
      <c r="P327" t="str">
        <f t="shared" ref="P327:P390" si="39">TEXT(B327,"mmmm")</f>
        <v>February</v>
      </c>
      <c r="Q327" t="str">
        <f t="shared" ref="Q327:Q390" si="40">"Q"&amp;ROUNDUP(MONTH(B327)/3,0)</f>
        <v>Q1</v>
      </c>
      <c r="R327" t="str">
        <f t="shared" ref="R327:R390" si="41">IF(L327&gt;=10000,"High","Low")</f>
        <v>High</v>
      </c>
    </row>
    <row r="328" spans="1:18" x14ac:dyDescent="0.3">
      <c r="A328" s="6" t="s">
        <v>520</v>
      </c>
      <c r="B328" s="7">
        <v>46009</v>
      </c>
      <c r="C328" s="6" t="s">
        <v>521</v>
      </c>
      <c r="D328" s="6" t="s">
        <v>55</v>
      </c>
      <c r="E328" s="6" t="s">
        <v>46</v>
      </c>
      <c r="F328" s="6" t="s">
        <v>47</v>
      </c>
      <c r="G328" s="6" t="s">
        <v>31</v>
      </c>
      <c r="H328" s="6">
        <v>9</v>
      </c>
      <c r="I328" s="8">
        <v>309.27</v>
      </c>
      <c r="J328" s="8">
        <v>269.14999999999998</v>
      </c>
      <c r="K328" s="6" t="s">
        <v>32</v>
      </c>
      <c r="L328" s="9">
        <f t="shared" si="35"/>
        <v>2783.43</v>
      </c>
      <c r="M328" s="10">
        <f t="shared" si="36"/>
        <v>2422.35</v>
      </c>
      <c r="N328" s="10">
        <f t="shared" si="37"/>
        <v>361.07999999999993</v>
      </c>
      <c r="O328" s="11">
        <f t="shared" si="38"/>
        <v>0.12972483590390271</v>
      </c>
      <c r="P328" t="str">
        <f t="shared" si="39"/>
        <v>December</v>
      </c>
      <c r="Q328" t="str">
        <f t="shared" si="40"/>
        <v>Q4</v>
      </c>
      <c r="R328" t="str">
        <f t="shared" si="41"/>
        <v>Low</v>
      </c>
    </row>
    <row r="329" spans="1:18" x14ac:dyDescent="0.3">
      <c r="A329" s="6" t="s">
        <v>522</v>
      </c>
      <c r="B329" s="7">
        <v>45991</v>
      </c>
      <c r="C329" s="6" t="s">
        <v>62</v>
      </c>
      <c r="D329" s="6" t="s">
        <v>38</v>
      </c>
      <c r="E329" s="6" t="s">
        <v>22</v>
      </c>
      <c r="F329" s="6" t="s">
        <v>23</v>
      </c>
      <c r="G329" s="6" t="s">
        <v>24</v>
      </c>
      <c r="H329" s="6">
        <v>7</v>
      </c>
      <c r="I329" s="8">
        <v>1473.4</v>
      </c>
      <c r="J329" s="8">
        <v>1109.32</v>
      </c>
      <c r="K329" s="6" t="s">
        <v>41</v>
      </c>
      <c r="L329" s="9">
        <f t="shared" si="35"/>
        <v>10313.800000000001</v>
      </c>
      <c r="M329" s="10">
        <f t="shared" si="36"/>
        <v>7765.24</v>
      </c>
      <c r="N329" s="10">
        <f t="shared" si="37"/>
        <v>2548.5600000000013</v>
      </c>
      <c r="O329" s="11">
        <f t="shared" si="38"/>
        <v>0.24710194108863862</v>
      </c>
      <c r="P329" t="str">
        <f t="shared" si="39"/>
        <v>November</v>
      </c>
      <c r="Q329" t="str">
        <f t="shared" si="40"/>
        <v>Q4</v>
      </c>
      <c r="R329" t="str">
        <f t="shared" si="41"/>
        <v>High</v>
      </c>
    </row>
    <row r="330" spans="1:18" x14ac:dyDescent="0.3">
      <c r="A330" s="6" t="s">
        <v>523</v>
      </c>
      <c r="B330" s="7">
        <v>45772</v>
      </c>
      <c r="C330" s="6" t="s">
        <v>289</v>
      </c>
      <c r="D330" s="6" t="s">
        <v>55</v>
      </c>
      <c r="E330" s="6" t="s">
        <v>29</v>
      </c>
      <c r="F330" s="6" t="s">
        <v>39</v>
      </c>
      <c r="G330" s="6" t="s">
        <v>24</v>
      </c>
      <c r="H330" s="6">
        <v>20</v>
      </c>
      <c r="I330" s="8">
        <v>973.6</v>
      </c>
      <c r="J330" s="8">
        <v>562.39</v>
      </c>
      <c r="K330" s="6" t="s">
        <v>41</v>
      </c>
      <c r="L330" s="9">
        <f t="shared" si="35"/>
        <v>19472</v>
      </c>
      <c r="M330" s="10">
        <f t="shared" si="36"/>
        <v>11247.8</v>
      </c>
      <c r="N330" s="10">
        <f t="shared" si="37"/>
        <v>8224.2000000000007</v>
      </c>
      <c r="O330" s="11">
        <f t="shared" si="38"/>
        <v>0.42236031224322107</v>
      </c>
      <c r="P330" t="str">
        <f t="shared" si="39"/>
        <v>April</v>
      </c>
      <c r="Q330" t="str">
        <f t="shared" si="40"/>
        <v>Q2</v>
      </c>
      <c r="R330" t="str">
        <f t="shared" si="41"/>
        <v>High</v>
      </c>
    </row>
    <row r="331" spans="1:18" x14ac:dyDescent="0.3">
      <c r="A331" s="6" t="s">
        <v>524</v>
      </c>
      <c r="B331" s="7">
        <v>45744</v>
      </c>
      <c r="C331" s="6" t="s">
        <v>392</v>
      </c>
      <c r="D331" s="6" t="s">
        <v>21</v>
      </c>
      <c r="E331" s="6" t="s">
        <v>22</v>
      </c>
      <c r="F331" s="6" t="s">
        <v>82</v>
      </c>
      <c r="G331" s="6" t="s">
        <v>57</v>
      </c>
      <c r="H331" s="6">
        <v>8</v>
      </c>
      <c r="I331" s="8">
        <v>703.47</v>
      </c>
      <c r="J331" s="8">
        <v>622.16</v>
      </c>
      <c r="K331" s="6" t="s">
        <v>25</v>
      </c>
      <c r="L331" s="9">
        <f t="shared" si="35"/>
        <v>5627.76</v>
      </c>
      <c r="M331" s="10">
        <f t="shared" si="36"/>
        <v>4977.28</v>
      </c>
      <c r="N331" s="10">
        <f t="shared" si="37"/>
        <v>650.48000000000047</v>
      </c>
      <c r="O331" s="11">
        <f t="shared" si="38"/>
        <v>0.11558417558673441</v>
      </c>
      <c r="P331" t="str">
        <f t="shared" si="39"/>
        <v>March</v>
      </c>
      <c r="Q331" t="str">
        <f t="shared" si="40"/>
        <v>Q1</v>
      </c>
      <c r="R331" t="str">
        <f t="shared" si="41"/>
        <v>Low</v>
      </c>
    </row>
    <row r="332" spans="1:18" x14ac:dyDescent="0.3">
      <c r="A332" s="6" t="s">
        <v>525</v>
      </c>
      <c r="B332" s="7">
        <v>45695</v>
      </c>
      <c r="C332" s="6" t="s">
        <v>491</v>
      </c>
      <c r="D332" s="6" t="s">
        <v>28</v>
      </c>
      <c r="E332" s="6" t="s">
        <v>46</v>
      </c>
      <c r="F332" s="6" t="s">
        <v>73</v>
      </c>
      <c r="G332" s="6" t="s">
        <v>60</v>
      </c>
      <c r="H332" s="6">
        <v>4</v>
      </c>
      <c r="I332" s="8">
        <v>531.26</v>
      </c>
      <c r="J332" s="8">
        <v>328.47</v>
      </c>
      <c r="K332" s="6" t="s">
        <v>25</v>
      </c>
      <c r="L332" s="9">
        <f t="shared" si="35"/>
        <v>2125.04</v>
      </c>
      <c r="M332" s="10">
        <f t="shared" si="36"/>
        <v>1313.88</v>
      </c>
      <c r="N332" s="10">
        <f t="shared" si="37"/>
        <v>811.15999999999985</v>
      </c>
      <c r="O332" s="11">
        <f t="shared" si="38"/>
        <v>0.38171516771449004</v>
      </c>
      <c r="P332" t="str">
        <f t="shared" si="39"/>
        <v>February</v>
      </c>
      <c r="Q332" t="str">
        <f t="shared" si="40"/>
        <v>Q1</v>
      </c>
      <c r="R332" t="str">
        <f t="shared" si="41"/>
        <v>Low</v>
      </c>
    </row>
    <row r="333" spans="1:18" x14ac:dyDescent="0.3">
      <c r="A333" s="6" t="s">
        <v>526</v>
      </c>
      <c r="B333" s="7">
        <v>46019</v>
      </c>
      <c r="C333" s="6" t="s">
        <v>211</v>
      </c>
      <c r="D333" s="6" t="s">
        <v>38</v>
      </c>
      <c r="E333" s="6" t="s">
        <v>46</v>
      </c>
      <c r="F333" s="6" t="s">
        <v>80</v>
      </c>
      <c r="G333" s="6" t="s">
        <v>24</v>
      </c>
      <c r="H333" s="6">
        <v>17</v>
      </c>
      <c r="I333" s="8">
        <v>1202.83</v>
      </c>
      <c r="J333" s="8">
        <v>776.67</v>
      </c>
      <c r="K333" s="6" t="s">
        <v>25</v>
      </c>
      <c r="L333" s="9">
        <f t="shared" si="35"/>
        <v>20448.11</v>
      </c>
      <c r="M333" s="10">
        <f t="shared" si="36"/>
        <v>13203.39</v>
      </c>
      <c r="N333" s="10">
        <f t="shared" si="37"/>
        <v>7244.7200000000012</v>
      </c>
      <c r="O333" s="11">
        <f t="shared" si="38"/>
        <v>0.35429778106631865</v>
      </c>
      <c r="P333" t="str">
        <f t="shared" si="39"/>
        <v>December</v>
      </c>
      <c r="Q333" t="str">
        <f t="shared" si="40"/>
        <v>Q4</v>
      </c>
      <c r="R333" t="str">
        <f t="shared" si="41"/>
        <v>High</v>
      </c>
    </row>
    <row r="334" spans="1:18" x14ac:dyDescent="0.3">
      <c r="A334" s="6" t="s">
        <v>527</v>
      </c>
      <c r="B334" s="7">
        <v>45932</v>
      </c>
      <c r="C334" s="6" t="s">
        <v>528</v>
      </c>
      <c r="D334" s="6" t="s">
        <v>28</v>
      </c>
      <c r="E334" s="6" t="s">
        <v>46</v>
      </c>
      <c r="F334" s="6" t="s">
        <v>73</v>
      </c>
      <c r="G334" s="6" t="s">
        <v>31</v>
      </c>
      <c r="H334" s="6">
        <v>17</v>
      </c>
      <c r="I334" s="8">
        <v>696.42</v>
      </c>
      <c r="J334" s="8">
        <v>571.78</v>
      </c>
      <c r="K334" s="6" t="s">
        <v>41</v>
      </c>
      <c r="L334" s="9">
        <f t="shared" si="35"/>
        <v>11839.14</v>
      </c>
      <c r="M334" s="10">
        <f t="shared" si="36"/>
        <v>9720.26</v>
      </c>
      <c r="N334" s="10">
        <f t="shared" si="37"/>
        <v>2118.8799999999992</v>
      </c>
      <c r="O334" s="11">
        <f t="shared" si="38"/>
        <v>0.17897245914821511</v>
      </c>
      <c r="P334" t="str">
        <f t="shared" si="39"/>
        <v>October</v>
      </c>
      <c r="Q334" t="str">
        <f t="shared" si="40"/>
        <v>Q4</v>
      </c>
      <c r="R334" t="str">
        <f t="shared" si="41"/>
        <v>High</v>
      </c>
    </row>
    <row r="335" spans="1:18" x14ac:dyDescent="0.3">
      <c r="A335" s="6" t="s">
        <v>529</v>
      </c>
      <c r="B335" s="7">
        <v>45662</v>
      </c>
      <c r="C335" s="6" t="s">
        <v>491</v>
      </c>
      <c r="D335" s="6" t="s">
        <v>21</v>
      </c>
      <c r="E335" s="6" t="s">
        <v>22</v>
      </c>
      <c r="F335" s="6" t="s">
        <v>82</v>
      </c>
      <c r="G335" s="6" t="s">
        <v>65</v>
      </c>
      <c r="H335" s="6">
        <v>11</v>
      </c>
      <c r="I335" s="8">
        <v>1144.5</v>
      </c>
      <c r="J335" s="8">
        <v>877.5</v>
      </c>
      <c r="K335" s="6" t="s">
        <v>25</v>
      </c>
      <c r="L335" s="9">
        <f t="shared" si="35"/>
        <v>12589.5</v>
      </c>
      <c r="M335" s="10">
        <f t="shared" si="36"/>
        <v>9652.5</v>
      </c>
      <c r="N335" s="10">
        <f t="shared" si="37"/>
        <v>2937</v>
      </c>
      <c r="O335" s="11">
        <f t="shared" si="38"/>
        <v>0.23328964613368283</v>
      </c>
      <c r="P335" t="str">
        <f t="shared" si="39"/>
        <v>January</v>
      </c>
      <c r="Q335" t="str">
        <f t="shared" si="40"/>
        <v>Q1</v>
      </c>
      <c r="R335" t="str">
        <f t="shared" si="41"/>
        <v>High</v>
      </c>
    </row>
    <row r="336" spans="1:18" x14ac:dyDescent="0.3">
      <c r="A336" s="6" t="s">
        <v>530</v>
      </c>
      <c r="B336" s="7">
        <v>45672</v>
      </c>
      <c r="C336" s="6" t="s">
        <v>277</v>
      </c>
      <c r="D336" s="6" t="s">
        <v>38</v>
      </c>
      <c r="E336" s="6" t="s">
        <v>46</v>
      </c>
      <c r="F336" s="6" t="s">
        <v>80</v>
      </c>
      <c r="G336" s="6" t="s">
        <v>24</v>
      </c>
      <c r="H336" s="6">
        <v>3</v>
      </c>
      <c r="I336" s="8">
        <v>1228.1400000000001</v>
      </c>
      <c r="J336" s="8">
        <v>742.8</v>
      </c>
      <c r="K336" s="6" t="s">
        <v>41</v>
      </c>
      <c r="L336" s="9">
        <f t="shared" si="35"/>
        <v>3684.42</v>
      </c>
      <c r="M336" s="10">
        <f t="shared" si="36"/>
        <v>2228.3999999999996</v>
      </c>
      <c r="N336" s="10">
        <f t="shared" si="37"/>
        <v>1456.0200000000004</v>
      </c>
      <c r="O336" s="11">
        <f t="shared" si="38"/>
        <v>0.39518295959744015</v>
      </c>
      <c r="P336" t="str">
        <f t="shared" si="39"/>
        <v>January</v>
      </c>
      <c r="Q336" t="str">
        <f t="shared" si="40"/>
        <v>Q1</v>
      </c>
      <c r="R336" t="str">
        <f t="shared" si="41"/>
        <v>Low</v>
      </c>
    </row>
    <row r="337" spans="1:18" x14ac:dyDescent="0.3">
      <c r="A337" s="6" t="s">
        <v>531</v>
      </c>
      <c r="B337" s="7">
        <v>45784</v>
      </c>
      <c r="C337" s="6" t="s">
        <v>532</v>
      </c>
      <c r="D337" s="6" t="s">
        <v>38</v>
      </c>
      <c r="E337" s="6" t="s">
        <v>29</v>
      </c>
      <c r="F337" s="6" t="s">
        <v>50</v>
      </c>
      <c r="G337" s="6" t="s">
        <v>24</v>
      </c>
      <c r="H337" s="6">
        <v>4</v>
      </c>
      <c r="I337" s="8">
        <v>652.54999999999995</v>
      </c>
      <c r="J337" s="8">
        <v>518.07000000000005</v>
      </c>
      <c r="K337" s="6" t="s">
        <v>25</v>
      </c>
      <c r="L337" s="9">
        <f t="shared" si="35"/>
        <v>2610.1999999999998</v>
      </c>
      <c r="M337" s="10">
        <f t="shared" si="36"/>
        <v>2072.2800000000002</v>
      </c>
      <c r="N337" s="10">
        <f t="shared" si="37"/>
        <v>537.91999999999962</v>
      </c>
      <c r="O337" s="11">
        <f t="shared" si="38"/>
        <v>0.20608382499425318</v>
      </c>
      <c r="P337" t="str">
        <f t="shared" si="39"/>
        <v>May</v>
      </c>
      <c r="Q337" t="str">
        <f t="shared" si="40"/>
        <v>Q2</v>
      </c>
      <c r="R337" t="str">
        <f t="shared" si="41"/>
        <v>Low</v>
      </c>
    </row>
    <row r="338" spans="1:18" x14ac:dyDescent="0.3">
      <c r="A338" s="6" t="s">
        <v>533</v>
      </c>
      <c r="B338" s="7">
        <v>45778</v>
      </c>
      <c r="C338" s="6" t="s">
        <v>491</v>
      </c>
      <c r="D338" s="6" t="s">
        <v>38</v>
      </c>
      <c r="E338" s="6" t="s">
        <v>46</v>
      </c>
      <c r="F338" s="6" t="s">
        <v>47</v>
      </c>
      <c r="G338" s="6" t="s">
        <v>40</v>
      </c>
      <c r="H338" s="6">
        <v>16</v>
      </c>
      <c r="I338" s="8">
        <v>464.19</v>
      </c>
      <c r="J338" s="8">
        <v>246.71</v>
      </c>
      <c r="K338" s="6" t="s">
        <v>25</v>
      </c>
      <c r="L338" s="9">
        <f t="shared" si="35"/>
        <v>7427.04</v>
      </c>
      <c r="M338" s="10">
        <f t="shared" si="36"/>
        <v>3947.36</v>
      </c>
      <c r="N338" s="10">
        <f t="shared" si="37"/>
        <v>3479.68</v>
      </c>
      <c r="O338" s="11">
        <f t="shared" si="38"/>
        <v>0.46851504771752944</v>
      </c>
      <c r="P338" t="str">
        <f t="shared" si="39"/>
        <v>May</v>
      </c>
      <c r="Q338" t="str">
        <f t="shared" si="40"/>
        <v>Q2</v>
      </c>
      <c r="R338" t="str">
        <f t="shared" si="41"/>
        <v>Low</v>
      </c>
    </row>
    <row r="339" spans="1:18" x14ac:dyDescent="0.3">
      <c r="A339" s="6" t="s">
        <v>534</v>
      </c>
      <c r="B339" s="7">
        <v>45681</v>
      </c>
      <c r="C339" s="6" t="s">
        <v>417</v>
      </c>
      <c r="D339" s="6" t="s">
        <v>55</v>
      </c>
      <c r="E339" s="6" t="s">
        <v>46</v>
      </c>
      <c r="F339" s="6" t="s">
        <v>85</v>
      </c>
      <c r="G339" s="6" t="s">
        <v>24</v>
      </c>
      <c r="H339" s="6">
        <v>10</v>
      </c>
      <c r="I339" s="8">
        <v>795.85</v>
      </c>
      <c r="J339" s="8">
        <v>463.76</v>
      </c>
      <c r="K339" s="6" t="s">
        <v>25</v>
      </c>
      <c r="L339" s="9">
        <f t="shared" si="35"/>
        <v>7958.5</v>
      </c>
      <c r="M339" s="10">
        <f t="shared" si="36"/>
        <v>4637.6000000000004</v>
      </c>
      <c r="N339" s="10">
        <f t="shared" si="37"/>
        <v>3320.8999999999996</v>
      </c>
      <c r="O339" s="11">
        <f t="shared" si="38"/>
        <v>0.41727712508638559</v>
      </c>
      <c r="P339" t="str">
        <f t="shared" si="39"/>
        <v>January</v>
      </c>
      <c r="Q339" t="str">
        <f t="shared" si="40"/>
        <v>Q1</v>
      </c>
      <c r="R339" t="str">
        <f t="shared" si="41"/>
        <v>Low</v>
      </c>
    </row>
    <row r="340" spans="1:18" x14ac:dyDescent="0.3">
      <c r="A340" s="6" t="s">
        <v>535</v>
      </c>
      <c r="B340" s="7">
        <v>45706</v>
      </c>
      <c r="C340" s="6" t="s">
        <v>197</v>
      </c>
      <c r="D340" s="6" t="s">
        <v>21</v>
      </c>
      <c r="E340" s="6" t="s">
        <v>22</v>
      </c>
      <c r="F340" s="6" t="s">
        <v>82</v>
      </c>
      <c r="G340" s="6" t="s">
        <v>57</v>
      </c>
      <c r="H340" s="6">
        <v>6</v>
      </c>
      <c r="I340" s="8">
        <v>984.36</v>
      </c>
      <c r="J340" s="8">
        <v>583.36</v>
      </c>
      <c r="K340" s="6" t="s">
        <v>32</v>
      </c>
      <c r="L340" s="9">
        <f t="shared" si="35"/>
        <v>5906.16</v>
      </c>
      <c r="M340" s="10">
        <f t="shared" si="36"/>
        <v>3500.16</v>
      </c>
      <c r="N340" s="10">
        <f t="shared" si="37"/>
        <v>2406</v>
      </c>
      <c r="O340" s="11">
        <f t="shared" si="38"/>
        <v>0.40737128692754682</v>
      </c>
      <c r="P340" t="str">
        <f t="shared" si="39"/>
        <v>February</v>
      </c>
      <c r="Q340" t="str">
        <f t="shared" si="40"/>
        <v>Q1</v>
      </c>
      <c r="R340" t="str">
        <f t="shared" si="41"/>
        <v>Low</v>
      </c>
    </row>
    <row r="341" spans="1:18" x14ac:dyDescent="0.3">
      <c r="A341" s="6" t="s">
        <v>536</v>
      </c>
      <c r="B341" s="7">
        <v>45986</v>
      </c>
      <c r="C341" s="6" t="s">
        <v>138</v>
      </c>
      <c r="D341" s="6" t="s">
        <v>38</v>
      </c>
      <c r="E341" s="6" t="s">
        <v>22</v>
      </c>
      <c r="F341" s="6" t="s">
        <v>56</v>
      </c>
      <c r="G341" s="6" t="s">
        <v>57</v>
      </c>
      <c r="H341" s="6">
        <v>16</v>
      </c>
      <c r="I341" s="8">
        <v>595.33000000000004</v>
      </c>
      <c r="J341" s="8">
        <v>393.95</v>
      </c>
      <c r="K341" s="6" t="s">
        <v>25</v>
      </c>
      <c r="L341" s="9">
        <f t="shared" si="35"/>
        <v>9525.2800000000007</v>
      </c>
      <c r="M341" s="10">
        <f t="shared" si="36"/>
        <v>6303.2</v>
      </c>
      <c r="N341" s="10">
        <f t="shared" si="37"/>
        <v>3222.0800000000008</v>
      </c>
      <c r="O341" s="11">
        <f t="shared" si="38"/>
        <v>0.33826617170308909</v>
      </c>
      <c r="P341" t="str">
        <f t="shared" si="39"/>
        <v>November</v>
      </c>
      <c r="Q341" t="str">
        <f t="shared" si="40"/>
        <v>Q4</v>
      </c>
      <c r="R341" t="str">
        <f t="shared" si="41"/>
        <v>Low</v>
      </c>
    </row>
    <row r="342" spans="1:18" x14ac:dyDescent="0.3">
      <c r="A342" s="6" t="s">
        <v>537</v>
      </c>
      <c r="B342" s="7">
        <v>45991</v>
      </c>
      <c r="C342" s="6" t="s">
        <v>154</v>
      </c>
      <c r="D342" s="6" t="s">
        <v>38</v>
      </c>
      <c r="E342" s="6" t="s">
        <v>29</v>
      </c>
      <c r="F342" s="6" t="s">
        <v>35</v>
      </c>
      <c r="G342" s="6" t="s">
        <v>57</v>
      </c>
      <c r="H342" s="6">
        <v>8</v>
      </c>
      <c r="I342" s="8">
        <v>558.07000000000005</v>
      </c>
      <c r="J342" s="8">
        <v>433.95</v>
      </c>
      <c r="K342" s="6" t="s">
        <v>32</v>
      </c>
      <c r="L342" s="9">
        <f t="shared" si="35"/>
        <v>4464.5600000000004</v>
      </c>
      <c r="M342" s="10">
        <f t="shared" si="36"/>
        <v>3471.6</v>
      </c>
      <c r="N342" s="10">
        <f t="shared" si="37"/>
        <v>992.96000000000049</v>
      </c>
      <c r="O342" s="11">
        <f t="shared" si="38"/>
        <v>0.22240937516798978</v>
      </c>
      <c r="P342" t="str">
        <f t="shared" si="39"/>
        <v>November</v>
      </c>
      <c r="Q342" t="str">
        <f t="shared" si="40"/>
        <v>Q4</v>
      </c>
      <c r="R342" t="str">
        <f t="shared" si="41"/>
        <v>Low</v>
      </c>
    </row>
    <row r="343" spans="1:18" x14ac:dyDescent="0.3">
      <c r="A343" s="6" t="s">
        <v>538</v>
      </c>
      <c r="B343" s="7">
        <v>45944</v>
      </c>
      <c r="C343" s="6" t="s">
        <v>223</v>
      </c>
      <c r="D343" s="6" t="s">
        <v>55</v>
      </c>
      <c r="E343" s="6" t="s">
        <v>22</v>
      </c>
      <c r="F343" s="6" t="s">
        <v>56</v>
      </c>
      <c r="G343" s="6" t="s">
        <v>60</v>
      </c>
      <c r="H343" s="6">
        <v>11</v>
      </c>
      <c r="I343" s="8">
        <v>453.24</v>
      </c>
      <c r="J343" s="8">
        <v>248.02</v>
      </c>
      <c r="K343" s="6" t="s">
        <v>25</v>
      </c>
      <c r="L343" s="9">
        <f t="shared" si="35"/>
        <v>4985.6400000000003</v>
      </c>
      <c r="M343" s="10">
        <f t="shared" si="36"/>
        <v>2728.2200000000003</v>
      </c>
      <c r="N343" s="10">
        <f t="shared" si="37"/>
        <v>2257.42</v>
      </c>
      <c r="O343" s="11">
        <f t="shared" si="38"/>
        <v>0.45278439678757387</v>
      </c>
      <c r="P343" t="str">
        <f t="shared" si="39"/>
        <v>October</v>
      </c>
      <c r="Q343" t="str">
        <f t="shared" si="40"/>
        <v>Q4</v>
      </c>
      <c r="R343" t="str">
        <f t="shared" si="41"/>
        <v>Low</v>
      </c>
    </row>
    <row r="344" spans="1:18" x14ac:dyDescent="0.3">
      <c r="A344" s="6" t="s">
        <v>539</v>
      </c>
      <c r="B344" s="7">
        <v>45948</v>
      </c>
      <c r="C344" s="6" t="s">
        <v>375</v>
      </c>
      <c r="D344" s="6" t="s">
        <v>38</v>
      </c>
      <c r="E344" s="6" t="s">
        <v>29</v>
      </c>
      <c r="F344" s="6" t="s">
        <v>39</v>
      </c>
      <c r="G344" s="6" t="s">
        <v>40</v>
      </c>
      <c r="H344" s="6">
        <v>7</v>
      </c>
      <c r="I344" s="8">
        <v>716.64</v>
      </c>
      <c r="J344" s="8">
        <v>490.25</v>
      </c>
      <c r="K344" s="6" t="s">
        <v>41</v>
      </c>
      <c r="L344" s="9">
        <f t="shared" si="35"/>
        <v>5016.4799999999996</v>
      </c>
      <c r="M344" s="10">
        <f t="shared" si="36"/>
        <v>3431.75</v>
      </c>
      <c r="N344" s="10">
        <f t="shared" si="37"/>
        <v>1584.7299999999996</v>
      </c>
      <c r="O344" s="11">
        <f t="shared" si="38"/>
        <v>0.31590477785219911</v>
      </c>
      <c r="P344" t="str">
        <f t="shared" si="39"/>
        <v>October</v>
      </c>
      <c r="Q344" t="str">
        <f t="shared" si="40"/>
        <v>Q4</v>
      </c>
      <c r="R344" t="str">
        <f t="shared" si="41"/>
        <v>Low</v>
      </c>
    </row>
    <row r="345" spans="1:18" x14ac:dyDescent="0.3">
      <c r="A345" s="6" t="s">
        <v>540</v>
      </c>
      <c r="B345" s="7">
        <v>45666</v>
      </c>
      <c r="C345" s="6" t="s">
        <v>261</v>
      </c>
      <c r="D345" s="6" t="s">
        <v>28</v>
      </c>
      <c r="E345" s="6" t="s">
        <v>29</v>
      </c>
      <c r="F345" s="6" t="s">
        <v>39</v>
      </c>
      <c r="G345" s="6" t="s">
        <v>40</v>
      </c>
      <c r="H345" s="6">
        <v>6</v>
      </c>
      <c r="I345" s="8">
        <v>1046.26</v>
      </c>
      <c r="J345" s="8">
        <v>593.27</v>
      </c>
      <c r="K345" s="6" t="s">
        <v>25</v>
      </c>
      <c r="L345" s="9">
        <f t="shared" si="35"/>
        <v>6277.5599999999995</v>
      </c>
      <c r="M345" s="10">
        <f t="shared" si="36"/>
        <v>3559.62</v>
      </c>
      <c r="N345" s="10">
        <f t="shared" si="37"/>
        <v>2717.9399999999996</v>
      </c>
      <c r="O345" s="11">
        <f t="shared" si="38"/>
        <v>0.43296121422973255</v>
      </c>
      <c r="P345" t="str">
        <f t="shared" si="39"/>
        <v>January</v>
      </c>
      <c r="Q345" t="str">
        <f t="shared" si="40"/>
        <v>Q1</v>
      </c>
      <c r="R345" t="str">
        <f t="shared" si="41"/>
        <v>Low</v>
      </c>
    </row>
    <row r="346" spans="1:18" x14ac:dyDescent="0.3">
      <c r="A346" s="6" t="s">
        <v>541</v>
      </c>
      <c r="B346" s="7">
        <v>45767</v>
      </c>
      <c r="C346" s="6" t="s">
        <v>437</v>
      </c>
      <c r="D346" s="6" t="s">
        <v>21</v>
      </c>
      <c r="E346" s="6" t="s">
        <v>22</v>
      </c>
      <c r="F346" s="6" t="s">
        <v>56</v>
      </c>
      <c r="G346" s="6" t="s">
        <v>40</v>
      </c>
      <c r="H346" s="6">
        <v>14</v>
      </c>
      <c r="I346" s="8">
        <v>1211</v>
      </c>
      <c r="J346" s="8">
        <v>1084.19</v>
      </c>
      <c r="K346" s="6" t="s">
        <v>25</v>
      </c>
      <c r="L346" s="9">
        <f t="shared" si="35"/>
        <v>16954</v>
      </c>
      <c r="M346" s="10">
        <f t="shared" si="36"/>
        <v>15178.66</v>
      </c>
      <c r="N346" s="10">
        <f t="shared" si="37"/>
        <v>1775.3400000000001</v>
      </c>
      <c r="O346" s="11">
        <f t="shared" si="38"/>
        <v>0.10471511147811727</v>
      </c>
      <c r="P346" t="str">
        <f t="shared" si="39"/>
        <v>April</v>
      </c>
      <c r="Q346" t="str">
        <f t="shared" si="40"/>
        <v>Q2</v>
      </c>
      <c r="R346" t="str">
        <f t="shared" si="41"/>
        <v>High</v>
      </c>
    </row>
    <row r="347" spans="1:18" x14ac:dyDescent="0.3">
      <c r="A347" s="6" t="s">
        <v>542</v>
      </c>
      <c r="B347" s="7">
        <v>45880</v>
      </c>
      <c r="C347" s="6" t="s">
        <v>543</v>
      </c>
      <c r="D347" s="6" t="s">
        <v>38</v>
      </c>
      <c r="E347" s="6" t="s">
        <v>46</v>
      </c>
      <c r="F347" s="6" t="s">
        <v>85</v>
      </c>
      <c r="G347" s="6" t="s">
        <v>40</v>
      </c>
      <c r="H347" s="6">
        <v>19</v>
      </c>
      <c r="I347" s="8">
        <v>1374.94</v>
      </c>
      <c r="J347" s="8">
        <v>1147.3800000000001</v>
      </c>
      <c r="K347" s="6" t="s">
        <v>25</v>
      </c>
      <c r="L347" s="9">
        <f t="shared" si="35"/>
        <v>26123.86</v>
      </c>
      <c r="M347" s="10">
        <f t="shared" si="36"/>
        <v>21800.22</v>
      </c>
      <c r="N347" s="10">
        <f t="shared" si="37"/>
        <v>4323.6399999999994</v>
      </c>
      <c r="O347" s="11">
        <f t="shared" si="38"/>
        <v>0.16550540387216894</v>
      </c>
      <c r="P347" t="str">
        <f t="shared" si="39"/>
        <v>August</v>
      </c>
      <c r="Q347" t="str">
        <f t="shared" si="40"/>
        <v>Q3</v>
      </c>
      <c r="R347" t="str">
        <f t="shared" si="41"/>
        <v>High</v>
      </c>
    </row>
    <row r="348" spans="1:18" x14ac:dyDescent="0.3">
      <c r="A348" s="6" t="s">
        <v>544</v>
      </c>
      <c r="B348" s="7">
        <v>45765</v>
      </c>
      <c r="C348" s="6" t="s">
        <v>545</v>
      </c>
      <c r="D348" s="6" t="s">
        <v>55</v>
      </c>
      <c r="E348" s="6" t="s">
        <v>22</v>
      </c>
      <c r="F348" s="6" t="s">
        <v>56</v>
      </c>
      <c r="G348" s="6" t="s">
        <v>57</v>
      </c>
      <c r="H348" s="6">
        <v>5</v>
      </c>
      <c r="I348" s="8">
        <v>251.16</v>
      </c>
      <c r="J348" s="8">
        <v>150.19999999999999</v>
      </c>
      <c r="K348" s="6" t="s">
        <v>25</v>
      </c>
      <c r="L348" s="9">
        <f t="shared" si="35"/>
        <v>1255.8</v>
      </c>
      <c r="M348" s="10">
        <f t="shared" si="36"/>
        <v>751</v>
      </c>
      <c r="N348" s="10">
        <f t="shared" si="37"/>
        <v>504.79999999999995</v>
      </c>
      <c r="O348" s="11">
        <f t="shared" si="38"/>
        <v>0.40197483675744544</v>
      </c>
      <c r="P348" t="str">
        <f t="shared" si="39"/>
        <v>April</v>
      </c>
      <c r="Q348" t="str">
        <f t="shared" si="40"/>
        <v>Q2</v>
      </c>
      <c r="R348" t="str">
        <f t="shared" si="41"/>
        <v>Low</v>
      </c>
    </row>
    <row r="349" spans="1:18" x14ac:dyDescent="0.3">
      <c r="A349" s="6" t="s">
        <v>546</v>
      </c>
      <c r="B349" s="7">
        <v>45724</v>
      </c>
      <c r="C349" s="6" t="s">
        <v>220</v>
      </c>
      <c r="D349" s="6" t="s">
        <v>28</v>
      </c>
      <c r="E349" s="6" t="s">
        <v>46</v>
      </c>
      <c r="F349" s="6" t="s">
        <v>73</v>
      </c>
      <c r="G349" s="6" t="s">
        <v>40</v>
      </c>
      <c r="H349" s="6">
        <v>1</v>
      </c>
      <c r="I349" s="8">
        <v>393.35</v>
      </c>
      <c r="J349" s="8">
        <v>268.85000000000002</v>
      </c>
      <c r="K349" s="6" t="s">
        <v>32</v>
      </c>
      <c r="L349" s="9">
        <f t="shared" si="35"/>
        <v>393.35</v>
      </c>
      <c r="M349" s="10">
        <f t="shared" si="36"/>
        <v>268.85000000000002</v>
      </c>
      <c r="N349" s="10">
        <f t="shared" si="37"/>
        <v>124.5</v>
      </c>
      <c r="O349" s="11">
        <f t="shared" si="38"/>
        <v>0.31651201220287273</v>
      </c>
      <c r="P349" t="str">
        <f t="shared" si="39"/>
        <v>March</v>
      </c>
      <c r="Q349" t="str">
        <f t="shared" si="40"/>
        <v>Q1</v>
      </c>
      <c r="R349" t="str">
        <f t="shared" si="41"/>
        <v>Low</v>
      </c>
    </row>
    <row r="350" spans="1:18" x14ac:dyDescent="0.3">
      <c r="A350" s="6" t="s">
        <v>547</v>
      </c>
      <c r="B350" s="7">
        <v>45921</v>
      </c>
      <c r="C350" s="6" t="s">
        <v>59</v>
      </c>
      <c r="D350" s="6" t="s">
        <v>38</v>
      </c>
      <c r="E350" s="6" t="s">
        <v>46</v>
      </c>
      <c r="F350" s="6" t="s">
        <v>80</v>
      </c>
      <c r="G350" s="6" t="s">
        <v>40</v>
      </c>
      <c r="H350" s="6">
        <v>7</v>
      </c>
      <c r="I350" s="8">
        <v>690.56</v>
      </c>
      <c r="J350" s="8">
        <v>413.65</v>
      </c>
      <c r="K350" s="6" t="s">
        <v>32</v>
      </c>
      <c r="L350" s="9">
        <f t="shared" si="35"/>
        <v>4833.92</v>
      </c>
      <c r="M350" s="10">
        <f t="shared" si="36"/>
        <v>2895.5499999999997</v>
      </c>
      <c r="N350" s="10">
        <f t="shared" si="37"/>
        <v>1938.3700000000003</v>
      </c>
      <c r="O350" s="11">
        <f t="shared" si="38"/>
        <v>0.40099339666357747</v>
      </c>
      <c r="P350" t="str">
        <f t="shared" si="39"/>
        <v>September</v>
      </c>
      <c r="Q350" t="str">
        <f t="shared" si="40"/>
        <v>Q3</v>
      </c>
      <c r="R350" t="str">
        <f t="shared" si="41"/>
        <v>Low</v>
      </c>
    </row>
    <row r="351" spans="1:18" x14ac:dyDescent="0.3">
      <c r="A351" s="6" t="s">
        <v>548</v>
      </c>
      <c r="B351" s="7">
        <v>45863</v>
      </c>
      <c r="C351" s="6" t="s">
        <v>362</v>
      </c>
      <c r="D351" s="6" t="s">
        <v>38</v>
      </c>
      <c r="E351" s="6" t="s">
        <v>46</v>
      </c>
      <c r="F351" s="6" t="s">
        <v>85</v>
      </c>
      <c r="G351" s="6" t="s">
        <v>60</v>
      </c>
      <c r="H351" s="6">
        <v>7</v>
      </c>
      <c r="I351" s="8">
        <v>907.61</v>
      </c>
      <c r="J351" s="8">
        <v>544.19000000000005</v>
      </c>
      <c r="K351" s="6" t="s">
        <v>32</v>
      </c>
      <c r="L351" s="9">
        <f t="shared" si="35"/>
        <v>6353.27</v>
      </c>
      <c r="M351" s="10">
        <f t="shared" si="36"/>
        <v>3809.3300000000004</v>
      </c>
      <c r="N351" s="10">
        <f t="shared" si="37"/>
        <v>2543.94</v>
      </c>
      <c r="O351" s="11">
        <f t="shared" si="38"/>
        <v>0.40041427485373671</v>
      </c>
      <c r="P351" t="str">
        <f t="shared" si="39"/>
        <v>July</v>
      </c>
      <c r="Q351" t="str">
        <f t="shared" si="40"/>
        <v>Q3</v>
      </c>
      <c r="R351" t="str">
        <f t="shared" si="41"/>
        <v>Low</v>
      </c>
    </row>
    <row r="352" spans="1:18" x14ac:dyDescent="0.3">
      <c r="A352" s="6" t="s">
        <v>549</v>
      </c>
      <c r="B352" s="7">
        <v>45991</v>
      </c>
      <c r="C352" s="6" t="s">
        <v>315</v>
      </c>
      <c r="D352" s="6" t="s">
        <v>21</v>
      </c>
      <c r="E352" s="6" t="s">
        <v>46</v>
      </c>
      <c r="F352" s="6" t="s">
        <v>47</v>
      </c>
      <c r="G352" s="6" t="s">
        <v>57</v>
      </c>
      <c r="H352" s="6">
        <v>11</v>
      </c>
      <c r="I352" s="8">
        <v>168.53</v>
      </c>
      <c r="J352" s="8">
        <v>151.32</v>
      </c>
      <c r="K352" s="6" t="s">
        <v>25</v>
      </c>
      <c r="L352" s="9">
        <f t="shared" si="35"/>
        <v>1853.83</v>
      </c>
      <c r="M352" s="10">
        <f t="shared" si="36"/>
        <v>1664.52</v>
      </c>
      <c r="N352" s="10">
        <f t="shared" si="37"/>
        <v>189.30999999999995</v>
      </c>
      <c r="O352" s="11">
        <f t="shared" si="38"/>
        <v>0.10211831721355245</v>
      </c>
      <c r="P352" t="str">
        <f t="shared" si="39"/>
        <v>November</v>
      </c>
      <c r="Q352" t="str">
        <f t="shared" si="40"/>
        <v>Q4</v>
      </c>
      <c r="R352" t="str">
        <f t="shared" si="41"/>
        <v>Low</v>
      </c>
    </row>
    <row r="353" spans="1:18" x14ac:dyDescent="0.3">
      <c r="A353" s="6" t="s">
        <v>550</v>
      </c>
      <c r="B353" s="7">
        <v>45708</v>
      </c>
      <c r="C353" s="6" t="s">
        <v>251</v>
      </c>
      <c r="D353" s="6" t="s">
        <v>38</v>
      </c>
      <c r="E353" s="6" t="s">
        <v>46</v>
      </c>
      <c r="F353" s="6" t="s">
        <v>73</v>
      </c>
      <c r="G353" s="6" t="s">
        <v>65</v>
      </c>
      <c r="H353" s="6">
        <v>9</v>
      </c>
      <c r="I353" s="8">
        <v>750.98</v>
      </c>
      <c r="J353" s="8">
        <v>404.3</v>
      </c>
      <c r="K353" s="6" t="s">
        <v>41</v>
      </c>
      <c r="L353" s="9">
        <f t="shared" si="35"/>
        <v>6758.82</v>
      </c>
      <c r="M353" s="10">
        <f t="shared" si="36"/>
        <v>3638.7000000000003</v>
      </c>
      <c r="N353" s="10">
        <f t="shared" si="37"/>
        <v>3120.1199999999994</v>
      </c>
      <c r="O353" s="11">
        <f t="shared" si="38"/>
        <v>0.4616367945884044</v>
      </c>
      <c r="P353" t="str">
        <f t="shared" si="39"/>
        <v>February</v>
      </c>
      <c r="Q353" t="str">
        <f t="shared" si="40"/>
        <v>Q1</v>
      </c>
      <c r="R353" t="str">
        <f t="shared" si="41"/>
        <v>Low</v>
      </c>
    </row>
    <row r="354" spans="1:18" x14ac:dyDescent="0.3">
      <c r="A354" s="6" t="s">
        <v>551</v>
      </c>
      <c r="B354" s="7">
        <v>45808</v>
      </c>
      <c r="C354" s="6" t="s">
        <v>233</v>
      </c>
      <c r="D354" s="6" t="s">
        <v>38</v>
      </c>
      <c r="E354" s="6" t="s">
        <v>22</v>
      </c>
      <c r="F354" s="6" t="s">
        <v>68</v>
      </c>
      <c r="G354" s="6" t="s">
        <v>60</v>
      </c>
      <c r="H354" s="6">
        <v>9</v>
      </c>
      <c r="I354" s="8">
        <v>877.33</v>
      </c>
      <c r="J354" s="8">
        <v>633.02</v>
      </c>
      <c r="K354" s="6" t="s">
        <v>32</v>
      </c>
      <c r="L354" s="9">
        <f t="shared" si="35"/>
        <v>7895.97</v>
      </c>
      <c r="M354" s="10">
        <f t="shared" si="36"/>
        <v>5697.18</v>
      </c>
      <c r="N354" s="10">
        <f t="shared" si="37"/>
        <v>2198.79</v>
      </c>
      <c r="O354" s="11">
        <f t="shared" si="38"/>
        <v>0.27846990300115121</v>
      </c>
      <c r="P354" t="str">
        <f t="shared" si="39"/>
        <v>May</v>
      </c>
      <c r="Q354" t="str">
        <f t="shared" si="40"/>
        <v>Q2</v>
      </c>
      <c r="R354" t="str">
        <f t="shared" si="41"/>
        <v>Low</v>
      </c>
    </row>
    <row r="355" spans="1:18" x14ac:dyDescent="0.3">
      <c r="A355" s="6" t="s">
        <v>552</v>
      </c>
      <c r="B355" s="7">
        <v>45849</v>
      </c>
      <c r="C355" s="6" t="s">
        <v>367</v>
      </c>
      <c r="D355" s="6" t="s">
        <v>55</v>
      </c>
      <c r="E355" s="6" t="s">
        <v>46</v>
      </c>
      <c r="F355" s="6" t="s">
        <v>85</v>
      </c>
      <c r="G355" s="6" t="s">
        <v>57</v>
      </c>
      <c r="H355" s="6">
        <v>3</v>
      </c>
      <c r="I355" s="8">
        <v>50.36</v>
      </c>
      <c r="J355" s="8">
        <v>32.090000000000003</v>
      </c>
      <c r="K355" s="6" t="s">
        <v>32</v>
      </c>
      <c r="L355" s="9">
        <f t="shared" si="35"/>
        <v>151.07999999999998</v>
      </c>
      <c r="M355" s="10">
        <f t="shared" si="36"/>
        <v>96.27000000000001</v>
      </c>
      <c r="N355" s="10">
        <f t="shared" si="37"/>
        <v>54.809999999999974</v>
      </c>
      <c r="O355" s="11">
        <f t="shared" si="38"/>
        <v>0.36278792692613171</v>
      </c>
      <c r="P355" t="str">
        <f t="shared" si="39"/>
        <v>July</v>
      </c>
      <c r="Q355" t="str">
        <f t="shared" si="40"/>
        <v>Q3</v>
      </c>
      <c r="R355" t="str">
        <f t="shared" si="41"/>
        <v>Low</v>
      </c>
    </row>
    <row r="356" spans="1:18" x14ac:dyDescent="0.3">
      <c r="A356" s="6" t="s">
        <v>553</v>
      </c>
      <c r="B356" s="7">
        <v>45868</v>
      </c>
      <c r="C356" s="6" t="s">
        <v>54</v>
      </c>
      <c r="D356" s="6" t="s">
        <v>38</v>
      </c>
      <c r="E356" s="6" t="s">
        <v>29</v>
      </c>
      <c r="F356" s="6" t="s">
        <v>39</v>
      </c>
      <c r="G356" s="6" t="s">
        <v>40</v>
      </c>
      <c r="H356" s="6">
        <v>6</v>
      </c>
      <c r="I356" s="8">
        <v>174.97</v>
      </c>
      <c r="J356" s="8">
        <v>154.91</v>
      </c>
      <c r="K356" s="6" t="s">
        <v>32</v>
      </c>
      <c r="L356" s="9">
        <f t="shared" si="35"/>
        <v>1049.82</v>
      </c>
      <c r="M356" s="10">
        <f t="shared" si="36"/>
        <v>929.46</v>
      </c>
      <c r="N356" s="10">
        <f t="shared" si="37"/>
        <v>120.3599999999999</v>
      </c>
      <c r="O356" s="11">
        <f t="shared" si="38"/>
        <v>0.11464822541007021</v>
      </c>
      <c r="P356" t="str">
        <f t="shared" si="39"/>
        <v>July</v>
      </c>
      <c r="Q356" t="str">
        <f t="shared" si="40"/>
        <v>Q3</v>
      </c>
      <c r="R356" t="str">
        <f t="shared" si="41"/>
        <v>Low</v>
      </c>
    </row>
    <row r="357" spans="1:18" x14ac:dyDescent="0.3">
      <c r="A357" s="6" t="s">
        <v>554</v>
      </c>
      <c r="B357" s="7">
        <v>45892</v>
      </c>
      <c r="C357" s="6" t="s">
        <v>543</v>
      </c>
      <c r="D357" s="6" t="s">
        <v>21</v>
      </c>
      <c r="E357" s="6" t="s">
        <v>46</v>
      </c>
      <c r="F357" s="6" t="s">
        <v>47</v>
      </c>
      <c r="G357" s="6" t="s">
        <v>57</v>
      </c>
      <c r="H357" s="6">
        <v>2</v>
      </c>
      <c r="I357" s="8">
        <v>1362.44</v>
      </c>
      <c r="J357" s="8">
        <v>744.38</v>
      </c>
      <c r="K357" s="6" t="s">
        <v>25</v>
      </c>
      <c r="L357" s="9">
        <f t="shared" si="35"/>
        <v>2724.88</v>
      </c>
      <c r="M357" s="10">
        <f t="shared" si="36"/>
        <v>1488.76</v>
      </c>
      <c r="N357" s="10">
        <f t="shared" si="37"/>
        <v>1236.1200000000001</v>
      </c>
      <c r="O357" s="11">
        <f t="shared" si="38"/>
        <v>0.45364199524382726</v>
      </c>
      <c r="P357" t="str">
        <f t="shared" si="39"/>
        <v>August</v>
      </c>
      <c r="Q357" t="str">
        <f t="shared" si="40"/>
        <v>Q3</v>
      </c>
      <c r="R357" t="str">
        <f t="shared" si="41"/>
        <v>Low</v>
      </c>
    </row>
    <row r="358" spans="1:18" x14ac:dyDescent="0.3">
      <c r="A358" s="6" t="s">
        <v>555</v>
      </c>
      <c r="B358" s="7">
        <v>45748</v>
      </c>
      <c r="C358" s="6" t="s">
        <v>349</v>
      </c>
      <c r="D358" s="6" t="s">
        <v>38</v>
      </c>
      <c r="E358" s="6" t="s">
        <v>22</v>
      </c>
      <c r="F358" s="6" t="s">
        <v>68</v>
      </c>
      <c r="G358" s="6" t="s">
        <v>57</v>
      </c>
      <c r="H358" s="6">
        <v>12</v>
      </c>
      <c r="I358" s="8">
        <v>679.84</v>
      </c>
      <c r="J358" s="8">
        <v>480.73</v>
      </c>
      <c r="K358" s="6" t="s">
        <v>25</v>
      </c>
      <c r="L358" s="9">
        <f t="shared" si="35"/>
        <v>8158.08</v>
      </c>
      <c r="M358" s="10">
        <f t="shared" si="36"/>
        <v>5768.76</v>
      </c>
      <c r="N358" s="10">
        <f t="shared" si="37"/>
        <v>2389.3199999999997</v>
      </c>
      <c r="O358" s="11">
        <f t="shared" si="38"/>
        <v>0.2928777359378677</v>
      </c>
      <c r="P358" t="str">
        <f t="shared" si="39"/>
        <v>April</v>
      </c>
      <c r="Q358" t="str">
        <f t="shared" si="40"/>
        <v>Q2</v>
      </c>
      <c r="R358" t="str">
        <f t="shared" si="41"/>
        <v>Low</v>
      </c>
    </row>
    <row r="359" spans="1:18" x14ac:dyDescent="0.3">
      <c r="A359" s="6" t="s">
        <v>556</v>
      </c>
      <c r="B359" s="7">
        <v>45839</v>
      </c>
      <c r="C359" s="6" t="s">
        <v>557</v>
      </c>
      <c r="D359" s="6" t="s">
        <v>38</v>
      </c>
      <c r="E359" s="6" t="s">
        <v>29</v>
      </c>
      <c r="F359" s="6" t="s">
        <v>30</v>
      </c>
      <c r="G359" s="6" t="s">
        <v>24</v>
      </c>
      <c r="H359" s="6">
        <v>9</v>
      </c>
      <c r="I359" s="8">
        <v>348.48</v>
      </c>
      <c r="J359" s="8">
        <v>281.92</v>
      </c>
      <c r="K359" s="6" t="s">
        <v>41</v>
      </c>
      <c r="L359" s="9">
        <f t="shared" si="35"/>
        <v>3136.32</v>
      </c>
      <c r="M359" s="10">
        <f t="shared" si="36"/>
        <v>2537.2800000000002</v>
      </c>
      <c r="N359" s="10">
        <f t="shared" si="37"/>
        <v>599.04</v>
      </c>
      <c r="O359" s="11">
        <f t="shared" si="38"/>
        <v>0.19100091827364551</v>
      </c>
      <c r="P359" t="str">
        <f t="shared" si="39"/>
        <v>July</v>
      </c>
      <c r="Q359" t="str">
        <f t="shared" si="40"/>
        <v>Q3</v>
      </c>
      <c r="R359" t="str">
        <f t="shared" si="41"/>
        <v>Low</v>
      </c>
    </row>
    <row r="360" spans="1:18" x14ac:dyDescent="0.3">
      <c r="A360" s="6" t="s">
        <v>558</v>
      </c>
      <c r="B360" s="7">
        <v>45872</v>
      </c>
      <c r="C360" s="6" t="s">
        <v>390</v>
      </c>
      <c r="D360" s="6" t="s">
        <v>38</v>
      </c>
      <c r="E360" s="6" t="s">
        <v>29</v>
      </c>
      <c r="F360" s="6" t="s">
        <v>30</v>
      </c>
      <c r="G360" s="6" t="s">
        <v>31</v>
      </c>
      <c r="H360" s="6">
        <v>5</v>
      </c>
      <c r="I360" s="8">
        <v>259.26</v>
      </c>
      <c r="J360" s="8">
        <v>231</v>
      </c>
      <c r="K360" s="6" t="s">
        <v>41</v>
      </c>
      <c r="L360" s="9">
        <f t="shared" si="35"/>
        <v>1296.3</v>
      </c>
      <c r="M360" s="10">
        <f t="shared" si="36"/>
        <v>1155</v>
      </c>
      <c r="N360" s="10">
        <f t="shared" si="37"/>
        <v>141.29999999999995</v>
      </c>
      <c r="O360" s="11">
        <f t="shared" si="38"/>
        <v>0.10900254570701223</v>
      </c>
      <c r="P360" t="str">
        <f t="shared" si="39"/>
        <v>August</v>
      </c>
      <c r="Q360" t="str">
        <f t="shared" si="40"/>
        <v>Q3</v>
      </c>
      <c r="R360" t="str">
        <f t="shared" si="41"/>
        <v>Low</v>
      </c>
    </row>
    <row r="361" spans="1:18" x14ac:dyDescent="0.3">
      <c r="A361" s="6" t="s">
        <v>559</v>
      </c>
      <c r="B361" s="7">
        <v>45663</v>
      </c>
      <c r="C361" s="6" t="s">
        <v>560</v>
      </c>
      <c r="D361" s="6" t="s">
        <v>28</v>
      </c>
      <c r="E361" s="6" t="s">
        <v>46</v>
      </c>
      <c r="F361" s="6" t="s">
        <v>85</v>
      </c>
      <c r="G361" s="6" t="s">
        <v>24</v>
      </c>
      <c r="H361" s="6">
        <v>10</v>
      </c>
      <c r="I361" s="8">
        <v>447.53</v>
      </c>
      <c r="J361" s="8">
        <v>240.26</v>
      </c>
      <c r="K361" s="6" t="s">
        <v>25</v>
      </c>
      <c r="L361" s="9">
        <f t="shared" si="35"/>
        <v>4475.2999999999993</v>
      </c>
      <c r="M361" s="10">
        <f t="shared" si="36"/>
        <v>2402.6</v>
      </c>
      <c r="N361" s="10">
        <f t="shared" si="37"/>
        <v>2072.6999999999994</v>
      </c>
      <c r="O361" s="11">
        <f t="shared" si="38"/>
        <v>0.46314213572274476</v>
      </c>
      <c r="P361" t="str">
        <f t="shared" si="39"/>
        <v>January</v>
      </c>
      <c r="Q361" t="str">
        <f t="shared" si="40"/>
        <v>Q1</v>
      </c>
      <c r="R361" t="str">
        <f t="shared" si="41"/>
        <v>Low</v>
      </c>
    </row>
    <row r="362" spans="1:18" x14ac:dyDescent="0.3">
      <c r="A362" s="6" t="s">
        <v>561</v>
      </c>
      <c r="B362" s="7">
        <v>45851</v>
      </c>
      <c r="C362" s="6" t="s">
        <v>244</v>
      </c>
      <c r="D362" s="6" t="s">
        <v>28</v>
      </c>
      <c r="E362" s="6" t="s">
        <v>29</v>
      </c>
      <c r="F362" s="6" t="s">
        <v>50</v>
      </c>
      <c r="G362" s="6" t="s">
        <v>60</v>
      </c>
      <c r="H362" s="6">
        <v>17</v>
      </c>
      <c r="I362" s="8">
        <v>540.80999999999995</v>
      </c>
      <c r="J362" s="8">
        <v>400.01</v>
      </c>
      <c r="K362" s="6" t="s">
        <v>25</v>
      </c>
      <c r="L362" s="9">
        <f t="shared" si="35"/>
        <v>9193.7699999999986</v>
      </c>
      <c r="M362" s="10">
        <f t="shared" si="36"/>
        <v>6800.17</v>
      </c>
      <c r="N362" s="10">
        <f t="shared" si="37"/>
        <v>2393.5999999999985</v>
      </c>
      <c r="O362" s="11">
        <f t="shared" si="38"/>
        <v>0.26035021541761422</v>
      </c>
      <c r="P362" t="str">
        <f t="shared" si="39"/>
        <v>July</v>
      </c>
      <c r="Q362" t="str">
        <f t="shared" si="40"/>
        <v>Q3</v>
      </c>
      <c r="R362" t="str">
        <f t="shared" si="41"/>
        <v>Low</v>
      </c>
    </row>
    <row r="363" spans="1:18" x14ac:dyDescent="0.3">
      <c r="A363" s="6" t="s">
        <v>562</v>
      </c>
      <c r="B363" s="7">
        <v>45775</v>
      </c>
      <c r="C363" s="6" t="s">
        <v>362</v>
      </c>
      <c r="D363" s="6" t="s">
        <v>21</v>
      </c>
      <c r="E363" s="6" t="s">
        <v>22</v>
      </c>
      <c r="F363" s="6" t="s">
        <v>82</v>
      </c>
      <c r="G363" s="6" t="s">
        <v>65</v>
      </c>
      <c r="H363" s="6">
        <v>9</v>
      </c>
      <c r="I363" s="8">
        <v>413.36</v>
      </c>
      <c r="J363" s="8">
        <v>247.36</v>
      </c>
      <c r="K363" s="6" t="s">
        <v>41</v>
      </c>
      <c r="L363" s="9">
        <f t="shared" si="35"/>
        <v>3720.2400000000002</v>
      </c>
      <c r="M363" s="10">
        <f t="shared" si="36"/>
        <v>2226.2400000000002</v>
      </c>
      <c r="N363" s="10">
        <f t="shared" si="37"/>
        <v>1494</v>
      </c>
      <c r="O363" s="11">
        <f t="shared" si="38"/>
        <v>0.40158699438745887</v>
      </c>
      <c r="P363" t="str">
        <f t="shared" si="39"/>
        <v>April</v>
      </c>
      <c r="Q363" t="str">
        <f t="shared" si="40"/>
        <v>Q2</v>
      </c>
      <c r="R363" t="str">
        <f t="shared" si="41"/>
        <v>Low</v>
      </c>
    </row>
    <row r="364" spans="1:18" x14ac:dyDescent="0.3">
      <c r="A364" s="6" t="s">
        <v>563</v>
      </c>
      <c r="B364" s="7">
        <v>45849</v>
      </c>
      <c r="C364" s="6" t="s">
        <v>62</v>
      </c>
      <c r="D364" s="6" t="s">
        <v>28</v>
      </c>
      <c r="E364" s="6" t="s">
        <v>22</v>
      </c>
      <c r="F364" s="6" t="s">
        <v>82</v>
      </c>
      <c r="G364" s="6" t="s">
        <v>60</v>
      </c>
      <c r="H364" s="6">
        <v>7</v>
      </c>
      <c r="I364" s="8">
        <v>1286.8900000000001</v>
      </c>
      <c r="J364" s="8">
        <v>848.18</v>
      </c>
      <c r="K364" s="6" t="s">
        <v>25</v>
      </c>
      <c r="L364" s="9">
        <f t="shared" si="35"/>
        <v>9008.2300000000014</v>
      </c>
      <c r="M364" s="10">
        <f t="shared" si="36"/>
        <v>5937.2599999999993</v>
      </c>
      <c r="N364" s="10">
        <f t="shared" si="37"/>
        <v>3070.9700000000021</v>
      </c>
      <c r="O364" s="11">
        <f t="shared" si="38"/>
        <v>0.34090714824110857</v>
      </c>
      <c r="P364" t="str">
        <f t="shared" si="39"/>
        <v>July</v>
      </c>
      <c r="Q364" t="str">
        <f t="shared" si="40"/>
        <v>Q3</v>
      </c>
      <c r="R364" t="str">
        <f t="shared" si="41"/>
        <v>Low</v>
      </c>
    </row>
    <row r="365" spans="1:18" x14ac:dyDescent="0.3">
      <c r="A365" s="6" t="s">
        <v>564</v>
      </c>
      <c r="B365" s="7">
        <v>45674</v>
      </c>
      <c r="C365" s="6" t="s">
        <v>341</v>
      </c>
      <c r="D365" s="6" t="s">
        <v>28</v>
      </c>
      <c r="E365" s="6" t="s">
        <v>22</v>
      </c>
      <c r="F365" s="6" t="s">
        <v>82</v>
      </c>
      <c r="G365" s="6" t="s">
        <v>31</v>
      </c>
      <c r="H365" s="6">
        <v>7</v>
      </c>
      <c r="I365" s="8">
        <v>1135.1400000000001</v>
      </c>
      <c r="J365" s="8">
        <v>616.75</v>
      </c>
      <c r="K365" s="6" t="s">
        <v>32</v>
      </c>
      <c r="L365" s="9">
        <f t="shared" si="35"/>
        <v>7945.9800000000005</v>
      </c>
      <c r="M365" s="10">
        <f t="shared" si="36"/>
        <v>4317.25</v>
      </c>
      <c r="N365" s="10">
        <f t="shared" si="37"/>
        <v>3628.7300000000005</v>
      </c>
      <c r="O365" s="11">
        <f t="shared" si="38"/>
        <v>0.45667494758355803</v>
      </c>
      <c r="P365" t="str">
        <f t="shared" si="39"/>
        <v>January</v>
      </c>
      <c r="Q365" t="str">
        <f t="shared" si="40"/>
        <v>Q1</v>
      </c>
      <c r="R365" t="str">
        <f t="shared" si="41"/>
        <v>Low</v>
      </c>
    </row>
    <row r="366" spans="1:18" x14ac:dyDescent="0.3">
      <c r="A366" s="6" t="s">
        <v>565</v>
      </c>
      <c r="B366" s="7">
        <v>45750</v>
      </c>
      <c r="C366" s="6" t="s">
        <v>566</v>
      </c>
      <c r="D366" s="6" t="s">
        <v>55</v>
      </c>
      <c r="E366" s="6" t="s">
        <v>22</v>
      </c>
      <c r="F366" s="6" t="s">
        <v>23</v>
      </c>
      <c r="G366" s="6" t="s">
        <v>57</v>
      </c>
      <c r="H366" s="6">
        <v>7</v>
      </c>
      <c r="I366" s="8">
        <v>351.77</v>
      </c>
      <c r="J366" s="8">
        <v>255.51</v>
      </c>
      <c r="K366" s="6" t="s">
        <v>32</v>
      </c>
      <c r="L366" s="9">
        <f t="shared" si="35"/>
        <v>2462.39</v>
      </c>
      <c r="M366" s="10">
        <f t="shared" si="36"/>
        <v>1788.57</v>
      </c>
      <c r="N366" s="10">
        <f t="shared" si="37"/>
        <v>673.81999999999994</v>
      </c>
      <c r="O366" s="11">
        <f t="shared" si="38"/>
        <v>0.2736447110327771</v>
      </c>
      <c r="P366" t="str">
        <f t="shared" si="39"/>
        <v>April</v>
      </c>
      <c r="Q366" t="str">
        <f t="shared" si="40"/>
        <v>Q2</v>
      </c>
      <c r="R366" t="str">
        <f t="shared" si="41"/>
        <v>Low</v>
      </c>
    </row>
    <row r="367" spans="1:18" x14ac:dyDescent="0.3">
      <c r="A367" s="6" t="s">
        <v>567</v>
      </c>
      <c r="B367" s="7">
        <v>45673</v>
      </c>
      <c r="C367" s="6" t="s">
        <v>568</v>
      </c>
      <c r="D367" s="6" t="s">
        <v>55</v>
      </c>
      <c r="E367" s="6" t="s">
        <v>22</v>
      </c>
      <c r="F367" s="6" t="s">
        <v>23</v>
      </c>
      <c r="G367" s="6" t="s">
        <v>60</v>
      </c>
      <c r="H367" s="6">
        <v>12</v>
      </c>
      <c r="I367" s="8">
        <v>1062</v>
      </c>
      <c r="J367" s="8">
        <v>896.17</v>
      </c>
      <c r="K367" s="6" t="s">
        <v>41</v>
      </c>
      <c r="L367" s="9">
        <f t="shared" si="35"/>
        <v>12744</v>
      </c>
      <c r="M367" s="10">
        <f t="shared" si="36"/>
        <v>10754.039999999999</v>
      </c>
      <c r="N367" s="10">
        <f t="shared" si="37"/>
        <v>1989.9600000000009</v>
      </c>
      <c r="O367" s="11">
        <f t="shared" si="38"/>
        <v>0.15614877589453868</v>
      </c>
      <c r="P367" t="str">
        <f t="shared" si="39"/>
        <v>January</v>
      </c>
      <c r="Q367" t="str">
        <f t="shared" si="40"/>
        <v>Q1</v>
      </c>
      <c r="R367" t="str">
        <f t="shared" si="41"/>
        <v>High</v>
      </c>
    </row>
    <row r="368" spans="1:18" x14ac:dyDescent="0.3">
      <c r="A368" s="6" t="s">
        <v>569</v>
      </c>
      <c r="B368" s="7">
        <v>45717</v>
      </c>
      <c r="C368" s="6" t="s">
        <v>370</v>
      </c>
      <c r="D368" s="6" t="s">
        <v>38</v>
      </c>
      <c r="E368" s="6" t="s">
        <v>22</v>
      </c>
      <c r="F368" s="6" t="s">
        <v>23</v>
      </c>
      <c r="G368" s="6" t="s">
        <v>57</v>
      </c>
      <c r="H368" s="6">
        <v>16</v>
      </c>
      <c r="I368" s="8">
        <v>1018.89</v>
      </c>
      <c r="J368" s="8">
        <v>575.28</v>
      </c>
      <c r="K368" s="6" t="s">
        <v>32</v>
      </c>
      <c r="L368" s="9">
        <f t="shared" si="35"/>
        <v>16302.24</v>
      </c>
      <c r="M368" s="10">
        <f t="shared" si="36"/>
        <v>9204.48</v>
      </c>
      <c r="N368" s="10">
        <f t="shared" si="37"/>
        <v>7097.76</v>
      </c>
      <c r="O368" s="11">
        <f t="shared" si="38"/>
        <v>0.43538556664605604</v>
      </c>
      <c r="P368" t="str">
        <f t="shared" si="39"/>
        <v>March</v>
      </c>
      <c r="Q368" t="str">
        <f t="shared" si="40"/>
        <v>Q1</v>
      </c>
      <c r="R368" t="str">
        <f t="shared" si="41"/>
        <v>High</v>
      </c>
    </row>
    <row r="369" spans="1:18" x14ac:dyDescent="0.3">
      <c r="A369" s="6" t="s">
        <v>570</v>
      </c>
      <c r="B369" s="7">
        <v>45700</v>
      </c>
      <c r="C369" s="6" t="s">
        <v>49</v>
      </c>
      <c r="D369" s="6" t="s">
        <v>55</v>
      </c>
      <c r="E369" s="6" t="s">
        <v>46</v>
      </c>
      <c r="F369" s="6" t="s">
        <v>80</v>
      </c>
      <c r="G369" s="6" t="s">
        <v>65</v>
      </c>
      <c r="H369" s="6">
        <v>14</v>
      </c>
      <c r="I369" s="8">
        <v>1423.25</v>
      </c>
      <c r="J369" s="8">
        <v>860.48</v>
      </c>
      <c r="K369" s="6" t="s">
        <v>41</v>
      </c>
      <c r="L369" s="9">
        <f t="shared" si="35"/>
        <v>19925.5</v>
      </c>
      <c r="M369" s="10">
        <f t="shared" si="36"/>
        <v>12046.720000000001</v>
      </c>
      <c r="N369" s="10">
        <f t="shared" si="37"/>
        <v>7878.7799999999988</v>
      </c>
      <c r="O369" s="11">
        <f t="shared" si="38"/>
        <v>0.3954119093623748</v>
      </c>
      <c r="P369" t="str">
        <f t="shared" si="39"/>
        <v>February</v>
      </c>
      <c r="Q369" t="str">
        <f t="shared" si="40"/>
        <v>Q1</v>
      </c>
      <c r="R369" t="str">
        <f t="shared" si="41"/>
        <v>High</v>
      </c>
    </row>
    <row r="370" spans="1:18" x14ac:dyDescent="0.3">
      <c r="A370" s="6" t="s">
        <v>571</v>
      </c>
      <c r="B370" s="7">
        <v>45772</v>
      </c>
      <c r="C370" s="6" t="s">
        <v>399</v>
      </c>
      <c r="D370" s="6" t="s">
        <v>55</v>
      </c>
      <c r="E370" s="6" t="s">
        <v>29</v>
      </c>
      <c r="F370" s="6" t="s">
        <v>30</v>
      </c>
      <c r="G370" s="6" t="s">
        <v>31</v>
      </c>
      <c r="H370" s="6">
        <v>7</v>
      </c>
      <c r="I370" s="8">
        <v>28.39</v>
      </c>
      <c r="J370" s="8">
        <v>24.53</v>
      </c>
      <c r="K370" s="6" t="s">
        <v>32</v>
      </c>
      <c r="L370" s="9">
        <f t="shared" si="35"/>
        <v>198.73000000000002</v>
      </c>
      <c r="M370" s="10">
        <f t="shared" si="36"/>
        <v>171.71</v>
      </c>
      <c r="N370" s="10">
        <f t="shared" si="37"/>
        <v>27.02000000000001</v>
      </c>
      <c r="O370" s="11">
        <f t="shared" si="38"/>
        <v>0.13596336738288134</v>
      </c>
      <c r="P370" t="str">
        <f t="shared" si="39"/>
        <v>April</v>
      </c>
      <c r="Q370" t="str">
        <f t="shared" si="40"/>
        <v>Q2</v>
      </c>
      <c r="R370" t="str">
        <f t="shared" si="41"/>
        <v>Low</v>
      </c>
    </row>
    <row r="371" spans="1:18" x14ac:dyDescent="0.3">
      <c r="A371" s="6" t="s">
        <v>572</v>
      </c>
      <c r="B371" s="7">
        <v>45951</v>
      </c>
      <c r="C371" s="6" t="s">
        <v>79</v>
      </c>
      <c r="D371" s="6" t="s">
        <v>21</v>
      </c>
      <c r="E371" s="6" t="s">
        <v>22</v>
      </c>
      <c r="F371" s="6" t="s">
        <v>82</v>
      </c>
      <c r="G371" s="6" t="s">
        <v>65</v>
      </c>
      <c r="H371" s="6">
        <v>2</v>
      </c>
      <c r="I371" s="8">
        <v>1331</v>
      </c>
      <c r="J371" s="8">
        <v>816.22</v>
      </c>
      <c r="K371" s="6" t="s">
        <v>41</v>
      </c>
      <c r="L371" s="9">
        <f t="shared" si="35"/>
        <v>2662</v>
      </c>
      <c r="M371" s="10">
        <f t="shared" si="36"/>
        <v>1632.44</v>
      </c>
      <c r="N371" s="10">
        <f t="shared" si="37"/>
        <v>1029.56</v>
      </c>
      <c r="O371" s="11">
        <f t="shared" si="38"/>
        <v>0.38676183320811419</v>
      </c>
      <c r="P371" t="str">
        <f t="shared" si="39"/>
        <v>October</v>
      </c>
      <c r="Q371" t="str">
        <f t="shared" si="40"/>
        <v>Q4</v>
      </c>
      <c r="R371" t="str">
        <f t="shared" si="41"/>
        <v>Low</v>
      </c>
    </row>
    <row r="372" spans="1:18" x14ac:dyDescent="0.3">
      <c r="A372" s="6" t="s">
        <v>573</v>
      </c>
      <c r="B372" s="7">
        <v>45906</v>
      </c>
      <c r="C372" s="6" t="s">
        <v>131</v>
      </c>
      <c r="D372" s="6" t="s">
        <v>21</v>
      </c>
      <c r="E372" s="6" t="s">
        <v>29</v>
      </c>
      <c r="F372" s="6" t="s">
        <v>30</v>
      </c>
      <c r="G372" s="6" t="s">
        <v>60</v>
      </c>
      <c r="H372" s="6">
        <v>3</v>
      </c>
      <c r="I372" s="8">
        <v>217.53</v>
      </c>
      <c r="J372" s="8">
        <v>141.74</v>
      </c>
      <c r="K372" s="6" t="s">
        <v>41</v>
      </c>
      <c r="L372" s="9">
        <f t="shared" si="35"/>
        <v>652.59</v>
      </c>
      <c r="M372" s="10">
        <f t="shared" si="36"/>
        <v>425.22</v>
      </c>
      <c r="N372" s="10">
        <f t="shared" si="37"/>
        <v>227.37</v>
      </c>
      <c r="O372" s="11">
        <f t="shared" si="38"/>
        <v>0.34841171332689741</v>
      </c>
      <c r="P372" t="str">
        <f t="shared" si="39"/>
        <v>September</v>
      </c>
      <c r="Q372" t="str">
        <f t="shared" si="40"/>
        <v>Q3</v>
      </c>
      <c r="R372" t="str">
        <f t="shared" si="41"/>
        <v>Low</v>
      </c>
    </row>
    <row r="373" spans="1:18" x14ac:dyDescent="0.3">
      <c r="A373" s="6" t="s">
        <v>574</v>
      </c>
      <c r="B373" s="7">
        <v>45878</v>
      </c>
      <c r="C373" s="6" t="s">
        <v>204</v>
      </c>
      <c r="D373" s="6" t="s">
        <v>38</v>
      </c>
      <c r="E373" s="6" t="s">
        <v>46</v>
      </c>
      <c r="F373" s="6" t="s">
        <v>73</v>
      </c>
      <c r="G373" s="6" t="s">
        <v>65</v>
      </c>
      <c r="H373" s="6">
        <v>8</v>
      </c>
      <c r="I373" s="8">
        <v>1214.98</v>
      </c>
      <c r="J373" s="8">
        <v>1002.67</v>
      </c>
      <c r="K373" s="6" t="s">
        <v>25</v>
      </c>
      <c r="L373" s="9">
        <f t="shared" si="35"/>
        <v>9719.84</v>
      </c>
      <c r="M373" s="10">
        <f t="shared" si="36"/>
        <v>8021.36</v>
      </c>
      <c r="N373" s="10">
        <f t="shared" si="37"/>
        <v>1698.4800000000005</v>
      </c>
      <c r="O373" s="11">
        <f t="shared" si="38"/>
        <v>0.17474361717888365</v>
      </c>
      <c r="P373" t="str">
        <f t="shared" si="39"/>
        <v>August</v>
      </c>
      <c r="Q373" t="str">
        <f t="shared" si="40"/>
        <v>Q3</v>
      </c>
      <c r="R373" t="str">
        <f t="shared" si="41"/>
        <v>Low</v>
      </c>
    </row>
    <row r="374" spans="1:18" x14ac:dyDescent="0.3">
      <c r="A374" s="6" t="s">
        <v>575</v>
      </c>
      <c r="B374" s="7">
        <v>45826</v>
      </c>
      <c r="C374" s="6" t="s">
        <v>560</v>
      </c>
      <c r="D374" s="6" t="s">
        <v>38</v>
      </c>
      <c r="E374" s="6" t="s">
        <v>46</v>
      </c>
      <c r="F374" s="6" t="s">
        <v>80</v>
      </c>
      <c r="G374" s="6" t="s">
        <v>60</v>
      </c>
      <c r="H374" s="6">
        <v>14</v>
      </c>
      <c r="I374" s="8">
        <v>455.63</v>
      </c>
      <c r="J374" s="8">
        <v>235.88</v>
      </c>
      <c r="K374" s="6" t="s">
        <v>32</v>
      </c>
      <c r="L374" s="9">
        <f t="shared" si="35"/>
        <v>6378.82</v>
      </c>
      <c r="M374" s="10">
        <f t="shared" si="36"/>
        <v>3302.3199999999997</v>
      </c>
      <c r="N374" s="10">
        <f t="shared" si="37"/>
        <v>3076.5</v>
      </c>
      <c r="O374" s="11">
        <f t="shared" si="38"/>
        <v>0.48229923402761016</v>
      </c>
      <c r="P374" t="str">
        <f t="shared" si="39"/>
        <v>June</v>
      </c>
      <c r="Q374" t="str">
        <f t="shared" si="40"/>
        <v>Q2</v>
      </c>
      <c r="R374" t="str">
        <f t="shared" si="41"/>
        <v>Low</v>
      </c>
    </row>
    <row r="375" spans="1:18" x14ac:dyDescent="0.3">
      <c r="A375" s="6" t="s">
        <v>576</v>
      </c>
      <c r="B375" s="7">
        <v>45815</v>
      </c>
      <c r="C375" s="6" t="s">
        <v>170</v>
      </c>
      <c r="D375" s="6" t="s">
        <v>38</v>
      </c>
      <c r="E375" s="6" t="s">
        <v>22</v>
      </c>
      <c r="F375" s="6" t="s">
        <v>23</v>
      </c>
      <c r="G375" s="6" t="s">
        <v>31</v>
      </c>
      <c r="H375" s="6">
        <v>11</v>
      </c>
      <c r="I375" s="8">
        <v>1407.2</v>
      </c>
      <c r="J375" s="8">
        <v>739.22</v>
      </c>
      <c r="K375" s="6" t="s">
        <v>25</v>
      </c>
      <c r="L375" s="9">
        <f t="shared" si="35"/>
        <v>15479.2</v>
      </c>
      <c r="M375" s="10">
        <f t="shared" si="36"/>
        <v>8131.42</v>
      </c>
      <c r="N375" s="10">
        <f t="shared" si="37"/>
        <v>7347.7800000000007</v>
      </c>
      <c r="O375" s="11">
        <f t="shared" si="38"/>
        <v>0.47468732234223993</v>
      </c>
      <c r="P375" t="str">
        <f t="shared" si="39"/>
        <v>June</v>
      </c>
      <c r="Q375" t="str">
        <f t="shared" si="40"/>
        <v>Q2</v>
      </c>
      <c r="R375" t="str">
        <f t="shared" si="41"/>
        <v>High</v>
      </c>
    </row>
    <row r="376" spans="1:18" x14ac:dyDescent="0.3">
      <c r="A376" s="6" t="s">
        <v>577</v>
      </c>
      <c r="B376" s="7">
        <v>45866</v>
      </c>
      <c r="C376" s="6" t="s">
        <v>199</v>
      </c>
      <c r="D376" s="6" t="s">
        <v>55</v>
      </c>
      <c r="E376" s="6" t="s">
        <v>22</v>
      </c>
      <c r="F376" s="6" t="s">
        <v>82</v>
      </c>
      <c r="G376" s="6" t="s">
        <v>24</v>
      </c>
      <c r="H376" s="6">
        <v>5</v>
      </c>
      <c r="I376" s="8">
        <v>259.97000000000003</v>
      </c>
      <c r="J376" s="8">
        <v>220.78</v>
      </c>
      <c r="K376" s="6" t="s">
        <v>25</v>
      </c>
      <c r="L376" s="9">
        <f t="shared" si="35"/>
        <v>1299.8500000000001</v>
      </c>
      <c r="M376" s="10">
        <f t="shared" si="36"/>
        <v>1103.9000000000001</v>
      </c>
      <c r="N376" s="10">
        <f t="shared" si="37"/>
        <v>195.95000000000005</v>
      </c>
      <c r="O376" s="11">
        <f t="shared" si="38"/>
        <v>0.15074816324960574</v>
      </c>
      <c r="P376" t="str">
        <f t="shared" si="39"/>
        <v>July</v>
      </c>
      <c r="Q376" t="str">
        <f t="shared" si="40"/>
        <v>Q3</v>
      </c>
      <c r="R376" t="str">
        <f t="shared" si="41"/>
        <v>Low</v>
      </c>
    </row>
    <row r="377" spans="1:18" x14ac:dyDescent="0.3">
      <c r="A377" s="6" t="s">
        <v>578</v>
      </c>
      <c r="B377" s="7">
        <v>45908</v>
      </c>
      <c r="C377" s="6" t="s">
        <v>289</v>
      </c>
      <c r="D377" s="6" t="s">
        <v>21</v>
      </c>
      <c r="E377" s="6" t="s">
        <v>22</v>
      </c>
      <c r="F377" s="6" t="s">
        <v>23</v>
      </c>
      <c r="G377" s="6" t="s">
        <v>24</v>
      </c>
      <c r="H377" s="6">
        <v>11</v>
      </c>
      <c r="I377" s="8">
        <v>389.12</v>
      </c>
      <c r="J377" s="8">
        <v>219.17</v>
      </c>
      <c r="K377" s="6" t="s">
        <v>25</v>
      </c>
      <c r="L377" s="9">
        <f t="shared" si="35"/>
        <v>4280.32</v>
      </c>
      <c r="M377" s="10">
        <f t="shared" si="36"/>
        <v>2410.87</v>
      </c>
      <c r="N377" s="10">
        <f t="shared" si="37"/>
        <v>1869.4499999999998</v>
      </c>
      <c r="O377" s="11">
        <f t="shared" si="38"/>
        <v>0.43675472861842102</v>
      </c>
      <c r="P377" t="str">
        <f t="shared" si="39"/>
        <v>September</v>
      </c>
      <c r="Q377" t="str">
        <f t="shared" si="40"/>
        <v>Q3</v>
      </c>
      <c r="R377" t="str">
        <f t="shared" si="41"/>
        <v>Low</v>
      </c>
    </row>
    <row r="378" spans="1:18" x14ac:dyDescent="0.3">
      <c r="A378" s="6" t="s">
        <v>579</v>
      </c>
      <c r="B378" s="7">
        <v>45694</v>
      </c>
      <c r="C378" s="6" t="s">
        <v>166</v>
      </c>
      <c r="D378" s="6" t="s">
        <v>28</v>
      </c>
      <c r="E378" s="6" t="s">
        <v>29</v>
      </c>
      <c r="F378" s="6" t="s">
        <v>30</v>
      </c>
      <c r="G378" s="6" t="s">
        <v>57</v>
      </c>
      <c r="H378" s="6">
        <v>11</v>
      </c>
      <c r="I378" s="8">
        <v>1143.6500000000001</v>
      </c>
      <c r="J378" s="8">
        <v>627.13</v>
      </c>
      <c r="K378" s="6" t="s">
        <v>41</v>
      </c>
      <c r="L378" s="9">
        <f t="shared" si="35"/>
        <v>12580.150000000001</v>
      </c>
      <c r="M378" s="10">
        <f t="shared" si="36"/>
        <v>6898.43</v>
      </c>
      <c r="N378" s="10">
        <f t="shared" si="37"/>
        <v>5681.7200000000012</v>
      </c>
      <c r="O378" s="11">
        <f t="shared" si="38"/>
        <v>0.45164167358894769</v>
      </c>
      <c r="P378" t="str">
        <f t="shared" si="39"/>
        <v>February</v>
      </c>
      <c r="Q378" t="str">
        <f t="shared" si="40"/>
        <v>Q1</v>
      </c>
      <c r="R378" t="str">
        <f t="shared" si="41"/>
        <v>High</v>
      </c>
    </row>
    <row r="379" spans="1:18" x14ac:dyDescent="0.3">
      <c r="A379" s="6" t="s">
        <v>580</v>
      </c>
      <c r="B379" s="7">
        <v>45993</v>
      </c>
      <c r="C379" s="6" t="s">
        <v>211</v>
      </c>
      <c r="D379" s="6" t="s">
        <v>38</v>
      </c>
      <c r="E379" s="6" t="s">
        <v>29</v>
      </c>
      <c r="F379" s="6" t="s">
        <v>50</v>
      </c>
      <c r="G379" s="6" t="s">
        <v>24</v>
      </c>
      <c r="H379" s="6">
        <v>5</v>
      </c>
      <c r="I379" s="8">
        <v>253.48</v>
      </c>
      <c r="J379" s="8">
        <v>143.41999999999999</v>
      </c>
      <c r="K379" s="6" t="s">
        <v>41</v>
      </c>
      <c r="L379" s="9">
        <f t="shared" si="35"/>
        <v>1267.3999999999999</v>
      </c>
      <c r="M379" s="10">
        <f t="shared" si="36"/>
        <v>717.09999999999991</v>
      </c>
      <c r="N379" s="10">
        <f t="shared" si="37"/>
        <v>550.29999999999995</v>
      </c>
      <c r="O379" s="11">
        <f t="shared" si="38"/>
        <v>0.43419599179422441</v>
      </c>
      <c r="P379" t="str">
        <f t="shared" si="39"/>
        <v>December</v>
      </c>
      <c r="Q379" t="str">
        <f t="shared" si="40"/>
        <v>Q4</v>
      </c>
      <c r="R379" t="str">
        <f t="shared" si="41"/>
        <v>Low</v>
      </c>
    </row>
    <row r="380" spans="1:18" x14ac:dyDescent="0.3">
      <c r="A380" s="6" t="s">
        <v>581</v>
      </c>
      <c r="B380" s="7">
        <v>45682</v>
      </c>
      <c r="C380" s="6" t="s">
        <v>216</v>
      </c>
      <c r="D380" s="6" t="s">
        <v>28</v>
      </c>
      <c r="E380" s="6" t="s">
        <v>22</v>
      </c>
      <c r="F380" s="6" t="s">
        <v>68</v>
      </c>
      <c r="G380" s="6" t="s">
        <v>57</v>
      </c>
      <c r="H380" s="6">
        <v>3</v>
      </c>
      <c r="I380" s="8">
        <v>705.28</v>
      </c>
      <c r="J380" s="8">
        <v>507.58</v>
      </c>
      <c r="K380" s="6" t="s">
        <v>25</v>
      </c>
      <c r="L380" s="9">
        <f t="shared" si="35"/>
        <v>2115.84</v>
      </c>
      <c r="M380" s="10">
        <f t="shared" si="36"/>
        <v>1522.74</v>
      </c>
      <c r="N380" s="10">
        <f t="shared" si="37"/>
        <v>593.10000000000014</v>
      </c>
      <c r="O380" s="11">
        <f t="shared" si="38"/>
        <v>0.28031420145190566</v>
      </c>
      <c r="P380" t="str">
        <f t="shared" si="39"/>
        <v>January</v>
      </c>
      <c r="Q380" t="str">
        <f t="shared" si="40"/>
        <v>Q1</v>
      </c>
      <c r="R380" t="str">
        <f t="shared" si="41"/>
        <v>Low</v>
      </c>
    </row>
    <row r="381" spans="1:18" x14ac:dyDescent="0.3">
      <c r="A381" s="6" t="s">
        <v>582</v>
      </c>
      <c r="B381" s="7">
        <v>45734</v>
      </c>
      <c r="C381" s="6" t="s">
        <v>134</v>
      </c>
      <c r="D381" s="6" t="s">
        <v>55</v>
      </c>
      <c r="E381" s="6" t="s">
        <v>29</v>
      </c>
      <c r="F381" s="6" t="s">
        <v>30</v>
      </c>
      <c r="G381" s="6" t="s">
        <v>31</v>
      </c>
      <c r="H381" s="6">
        <v>5</v>
      </c>
      <c r="I381" s="8">
        <v>131.21</v>
      </c>
      <c r="J381" s="8">
        <v>100.14</v>
      </c>
      <c r="K381" s="6" t="s">
        <v>25</v>
      </c>
      <c r="L381" s="9">
        <f t="shared" si="35"/>
        <v>656.05000000000007</v>
      </c>
      <c r="M381" s="10">
        <f t="shared" si="36"/>
        <v>500.7</v>
      </c>
      <c r="N381" s="10">
        <f t="shared" si="37"/>
        <v>155.35000000000008</v>
      </c>
      <c r="O381" s="11">
        <f t="shared" si="38"/>
        <v>0.23679597591646986</v>
      </c>
      <c r="P381" t="str">
        <f t="shared" si="39"/>
        <v>March</v>
      </c>
      <c r="Q381" t="str">
        <f t="shared" si="40"/>
        <v>Q1</v>
      </c>
      <c r="R381" t="str">
        <f t="shared" si="41"/>
        <v>Low</v>
      </c>
    </row>
    <row r="382" spans="1:18" x14ac:dyDescent="0.3">
      <c r="A382" s="6" t="s">
        <v>583</v>
      </c>
      <c r="B382" s="7">
        <v>45713</v>
      </c>
      <c r="C382" s="6" t="s">
        <v>34</v>
      </c>
      <c r="D382" s="6" t="s">
        <v>21</v>
      </c>
      <c r="E382" s="6" t="s">
        <v>46</v>
      </c>
      <c r="F382" s="6" t="s">
        <v>47</v>
      </c>
      <c r="G382" s="6" t="s">
        <v>60</v>
      </c>
      <c r="H382" s="6">
        <v>14</v>
      </c>
      <c r="I382" s="8">
        <v>881.92</v>
      </c>
      <c r="J382" s="8">
        <v>714.22</v>
      </c>
      <c r="K382" s="6" t="s">
        <v>25</v>
      </c>
      <c r="L382" s="9">
        <f t="shared" si="35"/>
        <v>12346.88</v>
      </c>
      <c r="M382" s="10">
        <f t="shared" si="36"/>
        <v>9999.08</v>
      </c>
      <c r="N382" s="10">
        <f t="shared" si="37"/>
        <v>2347.7999999999993</v>
      </c>
      <c r="O382" s="11">
        <f t="shared" si="38"/>
        <v>0.19015330188679241</v>
      </c>
      <c r="P382" t="str">
        <f t="shared" si="39"/>
        <v>February</v>
      </c>
      <c r="Q382" t="str">
        <f t="shared" si="40"/>
        <v>Q1</v>
      </c>
      <c r="R382" t="str">
        <f t="shared" si="41"/>
        <v>High</v>
      </c>
    </row>
    <row r="383" spans="1:18" x14ac:dyDescent="0.3">
      <c r="A383" s="6" t="s">
        <v>584</v>
      </c>
      <c r="B383" s="7">
        <v>45974</v>
      </c>
      <c r="C383" s="6" t="s">
        <v>585</v>
      </c>
      <c r="D383" s="6" t="s">
        <v>55</v>
      </c>
      <c r="E383" s="6" t="s">
        <v>29</v>
      </c>
      <c r="F383" s="6" t="s">
        <v>50</v>
      </c>
      <c r="G383" s="6" t="s">
        <v>31</v>
      </c>
      <c r="H383" s="6">
        <v>4</v>
      </c>
      <c r="I383" s="8">
        <v>1147.27</v>
      </c>
      <c r="J383" s="8">
        <v>812.84</v>
      </c>
      <c r="K383" s="6" t="s">
        <v>32</v>
      </c>
      <c r="L383" s="9">
        <f t="shared" si="35"/>
        <v>4589.08</v>
      </c>
      <c r="M383" s="10">
        <f t="shared" si="36"/>
        <v>3251.36</v>
      </c>
      <c r="N383" s="10">
        <f t="shared" si="37"/>
        <v>1337.7199999999998</v>
      </c>
      <c r="O383" s="11">
        <f t="shared" si="38"/>
        <v>0.29150069294934927</v>
      </c>
      <c r="P383" t="str">
        <f t="shared" si="39"/>
        <v>November</v>
      </c>
      <c r="Q383" t="str">
        <f t="shared" si="40"/>
        <v>Q4</v>
      </c>
      <c r="R383" t="str">
        <f t="shared" si="41"/>
        <v>Low</v>
      </c>
    </row>
    <row r="384" spans="1:18" x14ac:dyDescent="0.3">
      <c r="A384" s="6" t="s">
        <v>586</v>
      </c>
      <c r="B384" s="7">
        <v>45916</v>
      </c>
      <c r="C384" s="6" t="s">
        <v>72</v>
      </c>
      <c r="D384" s="6" t="s">
        <v>55</v>
      </c>
      <c r="E384" s="6" t="s">
        <v>46</v>
      </c>
      <c r="F384" s="6" t="s">
        <v>73</v>
      </c>
      <c r="G384" s="6" t="s">
        <v>31</v>
      </c>
      <c r="H384" s="6">
        <v>12</v>
      </c>
      <c r="I384" s="8">
        <v>763.14</v>
      </c>
      <c r="J384" s="8">
        <v>591.45000000000005</v>
      </c>
      <c r="K384" s="6" t="s">
        <v>41</v>
      </c>
      <c r="L384" s="9">
        <f t="shared" si="35"/>
        <v>9157.68</v>
      </c>
      <c r="M384" s="10">
        <f t="shared" si="36"/>
        <v>7097.4000000000005</v>
      </c>
      <c r="N384" s="10">
        <f t="shared" si="37"/>
        <v>2060.2799999999997</v>
      </c>
      <c r="O384" s="11">
        <f t="shared" si="38"/>
        <v>0.22497837880336502</v>
      </c>
      <c r="P384" t="str">
        <f t="shared" si="39"/>
        <v>September</v>
      </c>
      <c r="Q384" t="str">
        <f t="shared" si="40"/>
        <v>Q3</v>
      </c>
      <c r="R384" t="str">
        <f t="shared" si="41"/>
        <v>Low</v>
      </c>
    </row>
    <row r="385" spans="1:18" x14ac:dyDescent="0.3">
      <c r="A385" s="6" t="s">
        <v>587</v>
      </c>
      <c r="B385" s="7">
        <v>45989</v>
      </c>
      <c r="C385" s="6" t="s">
        <v>588</v>
      </c>
      <c r="D385" s="6" t="s">
        <v>28</v>
      </c>
      <c r="E385" s="6" t="s">
        <v>22</v>
      </c>
      <c r="F385" s="6" t="s">
        <v>23</v>
      </c>
      <c r="G385" s="6" t="s">
        <v>65</v>
      </c>
      <c r="H385" s="6">
        <v>19</v>
      </c>
      <c r="I385" s="8">
        <v>818.51</v>
      </c>
      <c r="J385" s="8">
        <v>698.1</v>
      </c>
      <c r="K385" s="6" t="s">
        <v>25</v>
      </c>
      <c r="L385" s="9">
        <f t="shared" si="35"/>
        <v>15551.69</v>
      </c>
      <c r="M385" s="10">
        <f t="shared" si="36"/>
        <v>13263.9</v>
      </c>
      <c r="N385" s="10">
        <f t="shared" si="37"/>
        <v>2287.7900000000009</v>
      </c>
      <c r="O385" s="11">
        <f t="shared" si="38"/>
        <v>0.14710877081526194</v>
      </c>
      <c r="P385" t="str">
        <f t="shared" si="39"/>
        <v>November</v>
      </c>
      <c r="Q385" t="str">
        <f t="shared" si="40"/>
        <v>Q4</v>
      </c>
      <c r="R385" t="str">
        <f t="shared" si="41"/>
        <v>High</v>
      </c>
    </row>
    <row r="386" spans="1:18" x14ac:dyDescent="0.3">
      <c r="A386" s="6" t="s">
        <v>589</v>
      </c>
      <c r="B386" s="7">
        <v>45929</v>
      </c>
      <c r="C386" s="6" t="s">
        <v>285</v>
      </c>
      <c r="D386" s="6" t="s">
        <v>55</v>
      </c>
      <c r="E386" s="6" t="s">
        <v>46</v>
      </c>
      <c r="F386" s="6" t="s">
        <v>85</v>
      </c>
      <c r="G386" s="6" t="s">
        <v>24</v>
      </c>
      <c r="H386" s="6">
        <v>18</v>
      </c>
      <c r="I386" s="8">
        <v>424.65</v>
      </c>
      <c r="J386" s="8">
        <v>362.55</v>
      </c>
      <c r="K386" s="6" t="s">
        <v>41</v>
      </c>
      <c r="L386" s="9">
        <f t="shared" si="35"/>
        <v>7643.7</v>
      </c>
      <c r="M386" s="10">
        <f t="shared" si="36"/>
        <v>6525.9000000000005</v>
      </c>
      <c r="N386" s="10">
        <f t="shared" si="37"/>
        <v>1117.7999999999993</v>
      </c>
      <c r="O386" s="11">
        <f t="shared" si="38"/>
        <v>0.14623807841752021</v>
      </c>
      <c r="P386" t="str">
        <f t="shared" si="39"/>
        <v>September</v>
      </c>
      <c r="Q386" t="str">
        <f t="shared" si="40"/>
        <v>Q3</v>
      </c>
      <c r="R386" t="str">
        <f t="shared" si="41"/>
        <v>Low</v>
      </c>
    </row>
    <row r="387" spans="1:18" x14ac:dyDescent="0.3">
      <c r="A387" s="6" t="s">
        <v>590</v>
      </c>
      <c r="B387" s="7">
        <v>45659</v>
      </c>
      <c r="C387" s="6" t="s">
        <v>141</v>
      </c>
      <c r="D387" s="6" t="s">
        <v>21</v>
      </c>
      <c r="E387" s="6" t="s">
        <v>46</v>
      </c>
      <c r="F387" s="6" t="s">
        <v>85</v>
      </c>
      <c r="G387" s="6" t="s">
        <v>57</v>
      </c>
      <c r="H387" s="6">
        <v>20</v>
      </c>
      <c r="I387" s="8">
        <v>1312.34</v>
      </c>
      <c r="J387" s="8">
        <v>1075.75</v>
      </c>
      <c r="K387" s="6" t="s">
        <v>41</v>
      </c>
      <c r="L387" s="9">
        <f t="shared" si="35"/>
        <v>26246.799999999999</v>
      </c>
      <c r="M387" s="10">
        <f t="shared" si="36"/>
        <v>21515</v>
      </c>
      <c r="N387" s="10">
        <f t="shared" si="37"/>
        <v>4731.7999999999993</v>
      </c>
      <c r="O387" s="11">
        <f t="shared" si="38"/>
        <v>0.1802810247344438</v>
      </c>
      <c r="P387" t="str">
        <f t="shared" si="39"/>
        <v>January</v>
      </c>
      <c r="Q387" t="str">
        <f t="shared" si="40"/>
        <v>Q1</v>
      </c>
      <c r="R387" t="str">
        <f t="shared" si="41"/>
        <v>High</v>
      </c>
    </row>
    <row r="388" spans="1:18" x14ac:dyDescent="0.3">
      <c r="A388" s="6" t="s">
        <v>591</v>
      </c>
      <c r="B388" s="7">
        <v>45962</v>
      </c>
      <c r="C388" s="6" t="s">
        <v>466</v>
      </c>
      <c r="D388" s="6" t="s">
        <v>55</v>
      </c>
      <c r="E388" s="6" t="s">
        <v>46</v>
      </c>
      <c r="F388" s="6" t="s">
        <v>80</v>
      </c>
      <c r="G388" s="6" t="s">
        <v>24</v>
      </c>
      <c r="H388" s="6">
        <v>16</v>
      </c>
      <c r="I388" s="8">
        <v>1474.27</v>
      </c>
      <c r="J388" s="8">
        <v>1303.92</v>
      </c>
      <c r="K388" s="6" t="s">
        <v>25</v>
      </c>
      <c r="L388" s="9">
        <f t="shared" si="35"/>
        <v>23588.32</v>
      </c>
      <c r="M388" s="10">
        <f t="shared" si="36"/>
        <v>20862.72</v>
      </c>
      <c r="N388" s="10">
        <f t="shared" si="37"/>
        <v>2725.5999999999985</v>
      </c>
      <c r="O388" s="11">
        <f t="shared" si="38"/>
        <v>0.1155487122440258</v>
      </c>
      <c r="P388" t="str">
        <f t="shared" si="39"/>
        <v>November</v>
      </c>
      <c r="Q388" t="str">
        <f t="shared" si="40"/>
        <v>Q4</v>
      </c>
      <c r="R388" t="str">
        <f t="shared" si="41"/>
        <v>High</v>
      </c>
    </row>
    <row r="389" spans="1:18" x14ac:dyDescent="0.3">
      <c r="A389" s="6" t="s">
        <v>592</v>
      </c>
      <c r="B389" s="7">
        <v>45900</v>
      </c>
      <c r="C389" s="6" t="s">
        <v>235</v>
      </c>
      <c r="D389" s="6" t="s">
        <v>28</v>
      </c>
      <c r="E389" s="6" t="s">
        <v>46</v>
      </c>
      <c r="F389" s="6" t="s">
        <v>73</v>
      </c>
      <c r="G389" s="6" t="s">
        <v>40</v>
      </c>
      <c r="H389" s="6">
        <v>10</v>
      </c>
      <c r="I389" s="8">
        <v>1156.8900000000001</v>
      </c>
      <c r="J389" s="8">
        <v>747.82</v>
      </c>
      <c r="K389" s="6" t="s">
        <v>32</v>
      </c>
      <c r="L389" s="9">
        <f t="shared" si="35"/>
        <v>11568.900000000001</v>
      </c>
      <c r="M389" s="10">
        <f t="shared" si="36"/>
        <v>7478.2000000000007</v>
      </c>
      <c r="N389" s="10">
        <f t="shared" si="37"/>
        <v>4090.7000000000007</v>
      </c>
      <c r="O389" s="11">
        <f t="shared" si="38"/>
        <v>0.35359455090803793</v>
      </c>
      <c r="P389" t="str">
        <f t="shared" si="39"/>
        <v>August</v>
      </c>
      <c r="Q389" t="str">
        <f t="shared" si="40"/>
        <v>Q3</v>
      </c>
      <c r="R389" t="str">
        <f t="shared" si="41"/>
        <v>High</v>
      </c>
    </row>
    <row r="390" spans="1:18" x14ac:dyDescent="0.3">
      <c r="A390" s="6" t="s">
        <v>593</v>
      </c>
      <c r="B390" s="7">
        <v>45662</v>
      </c>
      <c r="C390" s="6" t="s">
        <v>108</v>
      </c>
      <c r="D390" s="6" t="s">
        <v>55</v>
      </c>
      <c r="E390" s="6" t="s">
        <v>29</v>
      </c>
      <c r="F390" s="6" t="s">
        <v>50</v>
      </c>
      <c r="G390" s="6" t="s">
        <v>60</v>
      </c>
      <c r="H390" s="6">
        <v>14</v>
      </c>
      <c r="I390" s="8">
        <v>1347.26</v>
      </c>
      <c r="J390" s="8">
        <v>808.53</v>
      </c>
      <c r="K390" s="6" t="s">
        <v>41</v>
      </c>
      <c r="L390" s="9">
        <f t="shared" si="35"/>
        <v>18861.64</v>
      </c>
      <c r="M390" s="10">
        <f t="shared" si="36"/>
        <v>11319.42</v>
      </c>
      <c r="N390" s="10">
        <f t="shared" si="37"/>
        <v>7542.2199999999993</v>
      </c>
      <c r="O390" s="11">
        <f t="shared" si="38"/>
        <v>0.39987084898237901</v>
      </c>
      <c r="P390" t="str">
        <f t="shared" si="39"/>
        <v>January</v>
      </c>
      <c r="Q390" t="str">
        <f t="shared" si="40"/>
        <v>Q1</v>
      </c>
      <c r="R390" t="str">
        <f t="shared" si="41"/>
        <v>High</v>
      </c>
    </row>
    <row r="391" spans="1:18" x14ac:dyDescent="0.3">
      <c r="A391" s="6" t="s">
        <v>594</v>
      </c>
      <c r="B391" s="7">
        <v>45895</v>
      </c>
      <c r="C391" s="6" t="s">
        <v>189</v>
      </c>
      <c r="D391" s="6" t="s">
        <v>55</v>
      </c>
      <c r="E391" s="6" t="s">
        <v>46</v>
      </c>
      <c r="F391" s="6" t="s">
        <v>73</v>
      </c>
      <c r="G391" s="6" t="s">
        <v>60</v>
      </c>
      <c r="H391" s="6">
        <v>10</v>
      </c>
      <c r="I391" s="8">
        <v>933.3</v>
      </c>
      <c r="J391" s="8">
        <v>648.22</v>
      </c>
      <c r="K391" s="6" t="s">
        <v>25</v>
      </c>
      <c r="L391" s="9">
        <f t="shared" ref="L391:L454" si="42">H391*I391</f>
        <v>9333</v>
      </c>
      <c r="M391" s="10">
        <f t="shared" ref="M391:M454" si="43">H391*J391</f>
        <v>6482.2000000000007</v>
      </c>
      <c r="N391" s="10">
        <f t="shared" ref="N391:N454" si="44">L391-M391</f>
        <v>2850.7999999999993</v>
      </c>
      <c r="O391" s="11">
        <f t="shared" ref="O391:O454" si="45">N391/L391</f>
        <v>0.30545376620593584</v>
      </c>
      <c r="P391" t="str">
        <f t="shared" ref="P391:P454" si="46">TEXT(B391,"mmmm")</f>
        <v>August</v>
      </c>
      <c r="Q391" t="str">
        <f t="shared" ref="Q391:Q454" si="47">"Q"&amp;ROUNDUP(MONTH(B391)/3,0)</f>
        <v>Q3</v>
      </c>
      <c r="R391" t="str">
        <f t="shared" ref="R391:R453" si="48">IF(L391&gt;=10000,"High","Low")</f>
        <v>Low</v>
      </c>
    </row>
    <row r="392" spans="1:18" x14ac:dyDescent="0.3">
      <c r="A392" s="6" t="s">
        <v>595</v>
      </c>
      <c r="B392" s="7">
        <v>46018</v>
      </c>
      <c r="C392" s="6" t="s">
        <v>166</v>
      </c>
      <c r="D392" s="6" t="s">
        <v>38</v>
      </c>
      <c r="E392" s="6" t="s">
        <v>46</v>
      </c>
      <c r="F392" s="6" t="s">
        <v>80</v>
      </c>
      <c r="G392" s="6" t="s">
        <v>40</v>
      </c>
      <c r="H392" s="6">
        <v>13</v>
      </c>
      <c r="I392" s="8">
        <v>657.49</v>
      </c>
      <c r="J392" s="8">
        <v>373.89</v>
      </c>
      <c r="K392" s="6" t="s">
        <v>32</v>
      </c>
      <c r="L392" s="9">
        <f t="shared" si="42"/>
        <v>8547.3700000000008</v>
      </c>
      <c r="M392" s="10">
        <f t="shared" si="43"/>
        <v>4860.57</v>
      </c>
      <c r="N392" s="10">
        <f t="shared" si="44"/>
        <v>3686.8000000000011</v>
      </c>
      <c r="O392" s="11">
        <f t="shared" si="45"/>
        <v>0.43133735874309886</v>
      </c>
      <c r="P392" t="str">
        <f t="shared" si="46"/>
        <v>December</v>
      </c>
      <c r="Q392" t="str">
        <f t="shared" si="47"/>
        <v>Q4</v>
      </c>
      <c r="R392" t="str">
        <f t="shared" si="48"/>
        <v>Low</v>
      </c>
    </row>
    <row r="393" spans="1:18" x14ac:dyDescent="0.3">
      <c r="A393" s="6" t="s">
        <v>596</v>
      </c>
      <c r="B393" s="7">
        <v>45887</v>
      </c>
      <c r="C393" s="6" t="s">
        <v>134</v>
      </c>
      <c r="D393" s="6" t="s">
        <v>38</v>
      </c>
      <c r="E393" s="6" t="s">
        <v>29</v>
      </c>
      <c r="F393" s="6" t="s">
        <v>35</v>
      </c>
      <c r="G393" s="6" t="s">
        <v>24</v>
      </c>
      <c r="H393" s="6">
        <v>11</v>
      </c>
      <c r="I393" s="8">
        <v>1099.3699999999999</v>
      </c>
      <c r="J393" s="8">
        <v>630.04999999999995</v>
      </c>
      <c r="K393" s="6" t="s">
        <v>41</v>
      </c>
      <c r="L393" s="9">
        <f t="shared" si="42"/>
        <v>12093.07</v>
      </c>
      <c r="M393" s="10">
        <f t="shared" si="43"/>
        <v>6930.5499999999993</v>
      </c>
      <c r="N393" s="10">
        <f t="shared" si="44"/>
        <v>5162.5200000000004</v>
      </c>
      <c r="O393" s="11">
        <f t="shared" si="45"/>
        <v>0.42689904217870239</v>
      </c>
      <c r="P393" t="str">
        <f t="shared" si="46"/>
        <v>August</v>
      </c>
      <c r="Q393" t="str">
        <f t="shared" si="47"/>
        <v>Q3</v>
      </c>
      <c r="R393" t="str">
        <f t="shared" si="48"/>
        <v>High</v>
      </c>
    </row>
    <row r="394" spans="1:18" x14ac:dyDescent="0.3">
      <c r="A394" s="6" t="s">
        <v>597</v>
      </c>
      <c r="B394" s="7">
        <v>45688</v>
      </c>
      <c r="C394" s="6" t="s">
        <v>225</v>
      </c>
      <c r="D394" s="6" t="s">
        <v>28</v>
      </c>
      <c r="E394" s="6" t="s">
        <v>22</v>
      </c>
      <c r="F394" s="6" t="s">
        <v>82</v>
      </c>
      <c r="G394" s="6" t="s">
        <v>57</v>
      </c>
      <c r="H394" s="6">
        <v>14</v>
      </c>
      <c r="I394" s="8">
        <v>764.17</v>
      </c>
      <c r="J394" s="8">
        <v>452.82</v>
      </c>
      <c r="K394" s="6" t="s">
        <v>32</v>
      </c>
      <c r="L394" s="9">
        <f t="shared" si="42"/>
        <v>10698.38</v>
      </c>
      <c r="M394" s="10">
        <f t="shared" si="43"/>
        <v>6339.48</v>
      </c>
      <c r="N394" s="10">
        <f t="shared" si="44"/>
        <v>4358.8999999999996</v>
      </c>
      <c r="O394" s="11">
        <f t="shared" si="45"/>
        <v>0.40743551827472946</v>
      </c>
      <c r="P394" t="str">
        <f t="shared" si="46"/>
        <v>January</v>
      </c>
      <c r="Q394" t="str">
        <f t="shared" si="47"/>
        <v>Q1</v>
      </c>
      <c r="R394" t="str">
        <f t="shared" si="48"/>
        <v>High</v>
      </c>
    </row>
    <row r="395" spans="1:18" x14ac:dyDescent="0.3">
      <c r="A395" s="6" t="s">
        <v>598</v>
      </c>
      <c r="B395" s="7">
        <v>45705</v>
      </c>
      <c r="C395" s="6" t="s">
        <v>147</v>
      </c>
      <c r="D395" s="6" t="s">
        <v>55</v>
      </c>
      <c r="E395" s="6" t="s">
        <v>46</v>
      </c>
      <c r="F395" s="6" t="s">
        <v>73</v>
      </c>
      <c r="G395" s="6" t="s">
        <v>24</v>
      </c>
      <c r="H395" s="6">
        <v>13</v>
      </c>
      <c r="I395" s="8">
        <v>116.49</v>
      </c>
      <c r="J395" s="8">
        <v>81.23</v>
      </c>
      <c r="K395" s="6" t="s">
        <v>25</v>
      </c>
      <c r="L395" s="9">
        <f t="shared" si="42"/>
        <v>1514.37</v>
      </c>
      <c r="M395" s="10">
        <f t="shared" si="43"/>
        <v>1055.99</v>
      </c>
      <c r="N395" s="10">
        <f t="shared" si="44"/>
        <v>458.37999999999988</v>
      </c>
      <c r="O395" s="11">
        <f t="shared" si="45"/>
        <v>0.30268692591638763</v>
      </c>
      <c r="P395" t="str">
        <f t="shared" si="46"/>
        <v>February</v>
      </c>
      <c r="Q395" t="str">
        <f t="shared" si="47"/>
        <v>Q1</v>
      </c>
      <c r="R395" t="str">
        <f t="shared" si="48"/>
        <v>Low</v>
      </c>
    </row>
    <row r="396" spans="1:18" x14ac:dyDescent="0.3">
      <c r="A396" s="6" t="s">
        <v>599</v>
      </c>
      <c r="B396" s="7">
        <v>45807</v>
      </c>
      <c r="C396" s="6" t="s">
        <v>600</v>
      </c>
      <c r="D396" s="6" t="s">
        <v>55</v>
      </c>
      <c r="E396" s="6" t="s">
        <v>29</v>
      </c>
      <c r="F396" s="6" t="s">
        <v>30</v>
      </c>
      <c r="G396" s="6" t="s">
        <v>60</v>
      </c>
      <c r="H396" s="6">
        <v>11</v>
      </c>
      <c r="I396" s="8">
        <v>275.14999999999998</v>
      </c>
      <c r="J396" s="8">
        <v>158.29</v>
      </c>
      <c r="K396" s="6" t="s">
        <v>25</v>
      </c>
      <c r="L396" s="9">
        <f t="shared" si="42"/>
        <v>3026.6499999999996</v>
      </c>
      <c r="M396" s="10">
        <f t="shared" si="43"/>
        <v>1741.1899999999998</v>
      </c>
      <c r="N396" s="10">
        <f t="shared" si="44"/>
        <v>1285.4599999999998</v>
      </c>
      <c r="O396" s="11">
        <f t="shared" si="45"/>
        <v>0.42471379247683083</v>
      </c>
      <c r="P396" t="str">
        <f t="shared" si="46"/>
        <v>May</v>
      </c>
      <c r="Q396" t="str">
        <f t="shared" si="47"/>
        <v>Q2</v>
      </c>
      <c r="R396" t="str">
        <f t="shared" si="48"/>
        <v>Low</v>
      </c>
    </row>
    <row r="397" spans="1:18" x14ac:dyDescent="0.3">
      <c r="A397" s="6" t="s">
        <v>601</v>
      </c>
      <c r="B397" s="7">
        <v>45844</v>
      </c>
      <c r="C397" s="6" t="s">
        <v>360</v>
      </c>
      <c r="D397" s="6" t="s">
        <v>28</v>
      </c>
      <c r="E397" s="6" t="s">
        <v>22</v>
      </c>
      <c r="F397" s="6" t="s">
        <v>68</v>
      </c>
      <c r="G397" s="6" t="s">
        <v>24</v>
      </c>
      <c r="H397" s="6">
        <v>16</v>
      </c>
      <c r="I397" s="8">
        <v>407.86</v>
      </c>
      <c r="J397" s="8">
        <v>282.54000000000002</v>
      </c>
      <c r="K397" s="6" t="s">
        <v>32</v>
      </c>
      <c r="L397" s="9">
        <f t="shared" si="42"/>
        <v>6525.76</v>
      </c>
      <c r="M397" s="10">
        <f t="shared" si="43"/>
        <v>4520.6400000000003</v>
      </c>
      <c r="N397" s="10">
        <f t="shared" si="44"/>
        <v>2005.12</v>
      </c>
      <c r="O397" s="11">
        <f t="shared" si="45"/>
        <v>0.30726229588584314</v>
      </c>
      <c r="P397" t="str">
        <f t="shared" si="46"/>
        <v>July</v>
      </c>
      <c r="Q397" t="str">
        <f t="shared" si="47"/>
        <v>Q3</v>
      </c>
      <c r="R397" t="str">
        <f t="shared" si="48"/>
        <v>Low</v>
      </c>
    </row>
    <row r="398" spans="1:18" x14ac:dyDescent="0.3">
      <c r="A398" s="6" t="s">
        <v>602</v>
      </c>
      <c r="B398" s="7">
        <v>45658</v>
      </c>
      <c r="C398" s="6" t="s">
        <v>499</v>
      </c>
      <c r="D398" s="6" t="s">
        <v>21</v>
      </c>
      <c r="E398" s="6" t="s">
        <v>22</v>
      </c>
      <c r="F398" s="6" t="s">
        <v>68</v>
      </c>
      <c r="G398" s="6" t="s">
        <v>65</v>
      </c>
      <c r="H398" s="6">
        <v>14</v>
      </c>
      <c r="I398" s="8">
        <v>724.6</v>
      </c>
      <c r="J398" s="8">
        <v>429.43</v>
      </c>
      <c r="K398" s="6" t="s">
        <v>32</v>
      </c>
      <c r="L398" s="9">
        <f t="shared" si="42"/>
        <v>10144.4</v>
      </c>
      <c r="M398" s="10">
        <f t="shared" si="43"/>
        <v>6012.02</v>
      </c>
      <c r="N398" s="10">
        <f t="shared" si="44"/>
        <v>4132.3799999999992</v>
      </c>
      <c r="O398" s="11">
        <f t="shared" si="45"/>
        <v>0.40735578250068999</v>
      </c>
      <c r="P398" t="str">
        <f t="shared" si="46"/>
        <v>January</v>
      </c>
      <c r="Q398" t="str">
        <f t="shared" si="47"/>
        <v>Q1</v>
      </c>
      <c r="R398" t="str">
        <f t="shared" si="48"/>
        <v>High</v>
      </c>
    </row>
    <row r="399" spans="1:18" x14ac:dyDescent="0.3">
      <c r="A399" s="6" t="s">
        <v>603</v>
      </c>
      <c r="B399" s="7">
        <v>45691</v>
      </c>
      <c r="C399" s="6" t="s">
        <v>202</v>
      </c>
      <c r="D399" s="6" t="s">
        <v>21</v>
      </c>
      <c r="E399" s="6" t="s">
        <v>29</v>
      </c>
      <c r="F399" s="6" t="s">
        <v>50</v>
      </c>
      <c r="G399" s="6" t="s">
        <v>60</v>
      </c>
      <c r="H399" s="6">
        <v>15</v>
      </c>
      <c r="I399" s="8">
        <v>198.03</v>
      </c>
      <c r="J399" s="8">
        <v>150.13</v>
      </c>
      <c r="K399" s="6" t="s">
        <v>41</v>
      </c>
      <c r="L399" s="9">
        <f t="shared" si="42"/>
        <v>2970.45</v>
      </c>
      <c r="M399" s="10">
        <f t="shared" si="43"/>
        <v>2251.9499999999998</v>
      </c>
      <c r="N399" s="10">
        <f t="shared" si="44"/>
        <v>718.5</v>
      </c>
      <c r="O399" s="11">
        <f t="shared" si="45"/>
        <v>0.24188254304903298</v>
      </c>
      <c r="P399" t="str">
        <f t="shared" si="46"/>
        <v>February</v>
      </c>
      <c r="Q399" t="str">
        <f t="shared" si="47"/>
        <v>Q1</v>
      </c>
      <c r="R399" t="str">
        <f t="shared" si="48"/>
        <v>Low</v>
      </c>
    </row>
    <row r="400" spans="1:18" x14ac:dyDescent="0.3">
      <c r="A400" s="6" t="s">
        <v>604</v>
      </c>
      <c r="B400" s="7">
        <v>45911</v>
      </c>
      <c r="C400" s="6" t="s">
        <v>160</v>
      </c>
      <c r="D400" s="6" t="s">
        <v>55</v>
      </c>
      <c r="E400" s="6" t="s">
        <v>46</v>
      </c>
      <c r="F400" s="6" t="s">
        <v>73</v>
      </c>
      <c r="G400" s="6" t="s">
        <v>57</v>
      </c>
      <c r="H400" s="6">
        <v>11</v>
      </c>
      <c r="I400" s="8">
        <v>709.87</v>
      </c>
      <c r="J400" s="8">
        <v>616.78</v>
      </c>
      <c r="K400" s="6" t="s">
        <v>32</v>
      </c>
      <c r="L400" s="9">
        <f t="shared" si="42"/>
        <v>7808.57</v>
      </c>
      <c r="M400" s="10">
        <f t="shared" si="43"/>
        <v>6784.58</v>
      </c>
      <c r="N400" s="10">
        <f t="shared" si="44"/>
        <v>1023.9899999999998</v>
      </c>
      <c r="O400" s="11">
        <f t="shared" si="45"/>
        <v>0.13113668699902797</v>
      </c>
      <c r="P400" t="str">
        <f t="shared" si="46"/>
        <v>September</v>
      </c>
      <c r="Q400" t="str">
        <f t="shared" si="47"/>
        <v>Q3</v>
      </c>
      <c r="R400" t="str">
        <f t="shared" si="48"/>
        <v>Low</v>
      </c>
    </row>
    <row r="401" spans="1:18" x14ac:dyDescent="0.3">
      <c r="A401" s="6" t="s">
        <v>605</v>
      </c>
      <c r="B401" s="7">
        <v>45893</v>
      </c>
      <c r="C401" s="6" t="s">
        <v>118</v>
      </c>
      <c r="D401" s="6" t="s">
        <v>28</v>
      </c>
      <c r="E401" s="6" t="s">
        <v>46</v>
      </c>
      <c r="F401" s="6" t="s">
        <v>80</v>
      </c>
      <c r="G401" s="6" t="s">
        <v>57</v>
      </c>
      <c r="H401" s="6">
        <v>9</v>
      </c>
      <c r="I401" s="8">
        <v>1098.8900000000001</v>
      </c>
      <c r="J401" s="8">
        <v>710.76</v>
      </c>
      <c r="K401" s="6" t="s">
        <v>32</v>
      </c>
      <c r="L401" s="9">
        <f t="shared" si="42"/>
        <v>9890.01</v>
      </c>
      <c r="M401" s="10">
        <f t="shared" si="43"/>
        <v>6396.84</v>
      </c>
      <c r="N401" s="10">
        <f t="shared" si="44"/>
        <v>3493.17</v>
      </c>
      <c r="O401" s="11">
        <f t="shared" si="45"/>
        <v>0.35320186733886011</v>
      </c>
      <c r="P401" t="str">
        <f t="shared" si="46"/>
        <v>August</v>
      </c>
      <c r="Q401" t="str">
        <f t="shared" si="47"/>
        <v>Q3</v>
      </c>
      <c r="R401" t="str">
        <f t="shared" si="48"/>
        <v>Low</v>
      </c>
    </row>
    <row r="402" spans="1:18" x14ac:dyDescent="0.3">
      <c r="A402" s="6" t="s">
        <v>606</v>
      </c>
      <c r="B402" s="7">
        <v>45980</v>
      </c>
      <c r="C402" s="6" t="s">
        <v>79</v>
      </c>
      <c r="D402" s="6" t="s">
        <v>38</v>
      </c>
      <c r="E402" s="6" t="s">
        <v>46</v>
      </c>
      <c r="F402" s="6" t="s">
        <v>85</v>
      </c>
      <c r="G402" s="6" t="s">
        <v>24</v>
      </c>
      <c r="H402" s="6">
        <v>1</v>
      </c>
      <c r="I402" s="8">
        <v>1237.9100000000001</v>
      </c>
      <c r="J402" s="8">
        <v>714.8</v>
      </c>
      <c r="K402" s="6" t="s">
        <v>25</v>
      </c>
      <c r="L402" s="9">
        <f t="shared" si="42"/>
        <v>1237.9100000000001</v>
      </c>
      <c r="M402" s="10">
        <f t="shared" si="43"/>
        <v>714.8</v>
      </c>
      <c r="N402" s="10">
        <f t="shared" si="44"/>
        <v>523.11000000000013</v>
      </c>
      <c r="O402" s="11">
        <f t="shared" si="45"/>
        <v>0.42257514682004355</v>
      </c>
      <c r="P402" t="str">
        <f t="shared" si="46"/>
        <v>November</v>
      </c>
      <c r="Q402" t="str">
        <f t="shared" si="47"/>
        <v>Q4</v>
      </c>
      <c r="R402" t="str">
        <f t="shared" si="48"/>
        <v>Low</v>
      </c>
    </row>
    <row r="403" spans="1:18" x14ac:dyDescent="0.3">
      <c r="A403" s="6" t="s">
        <v>607</v>
      </c>
      <c r="B403" s="7">
        <v>46019</v>
      </c>
      <c r="C403" s="6" t="s">
        <v>108</v>
      </c>
      <c r="D403" s="6" t="s">
        <v>28</v>
      </c>
      <c r="E403" s="6" t="s">
        <v>46</v>
      </c>
      <c r="F403" s="6" t="s">
        <v>80</v>
      </c>
      <c r="G403" s="6" t="s">
        <v>24</v>
      </c>
      <c r="H403" s="6">
        <v>10</v>
      </c>
      <c r="I403" s="8">
        <v>751.02</v>
      </c>
      <c r="J403" s="8">
        <v>628.09</v>
      </c>
      <c r="K403" s="6" t="s">
        <v>32</v>
      </c>
      <c r="L403" s="9">
        <f t="shared" si="42"/>
        <v>7510.2</v>
      </c>
      <c r="M403" s="10">
        <f t="shared" si="43"/>
        <v>6280.9000000000005</v>
      </c>
      <c r="N403" s="10">
        <f t="shared" si="44"/>
        <v>1229.2999999999993</v>
      </c>
      <c r="O403" s="11">
        <f t="shared" si="45"/>
        <v>0.16368405635003053</v>
      </c>
      <c r="P403" t="str">
        <f t="shared" si="46"/>
        <v>December</v>
      </c>
      <c r="Q403" t="str">
        <f t="shared" si="47"/>
        <v>Q4</v>
      </c>
      <c r="R403" t="str">
        <f t="shared" si="48"/>
        <v>Low</v>
      </c>
    </row>
    <row r="404" spans="1:18" x14ac:dyDescent="0.3">
      <c r="A404" s="6" t="s">
        <v>608</v>
      </c>
      <c r="B404" s="7">
        <v>45876</v>
      </c>
      <c r="C404" s="6" t="s">
        <v>206</v>
      </c>
      <c r="D404" s="6" t="s">
        <v>28</v>
      </c>
      <c r="E404" s="6" t="s">
        <v>46</v>
      </c>
      <c r="F404" s="6" t="s">
        <v>85</v>
      </c>
      <c r="G404" s="6" t="s">
        <v>40</v>
      </c>
      <c r="H404" s="6">
        <v>16</v>
      </c>
      <c r="I404" s="8">
        <v>1277.6500000000001</v>
      </c>
      <c r="J404" s="8">
        <v>826.43</v>
      </c>
      <c r="K404" s="6" t="s">
        <v>32</v>
      </c>
      <c r="L404" s="9">
        <f t="shared" si="42"/>
        <v>20442.400000000001</v>
      </c>
      <c r="M404" s="10">
        <f t="shared" si="43"/>
        <v>13222.88</v>
      </c>
      <c r="N404" s="10">
        <f t="shared" si="44"/>
        <v>7219.5200000000023</v>
      </c>
      <c r="O404" s="11">
        <f t="shared" si="45"/>
        <v>0.35316401205337933</v>
      </c>
      <c r="P404" t="str">
        <f t="shared" si="46"/>
        <v>August</v>
      </c>
      <c r="Q404" t="str">
        <f t="shared" si="47"/>
        <v>Q3</v>
      </c>
      <c r="R404" t="str">
        <f t="shared" si="48"/>
        <v>High</v>
      </c>
    </row>
    <row r="405" spans="1:18" x14ac:dyDescent="0.3">
      <c r="A405" s="6" t="s">
        <v>609</v>
      </c>
      <c r="B405" s="7">
        <v>45746</v>
      </c>
      <c r="C405" s="6" t="s">
        <v>326</v>
      </c>
      <c r="D405" s="6" t="s">
        <v>28</v>
      </c>
      <c r="E405" s="6" t="s">
        <v>29</v>
      </c>
      <c r="F405" s="6" t="s">
        <v>50</v>
      </c>
      <c r="G405" s="6" t="s">
        <v>65</v>
      </c>
      <c r="H405" s="6">
        <v>19</v>
      </c>
      <c r="I405" s="8">
        <v>1294.03</v>
      </c>
      <c r="J405" s="8">
        <v>661.23</v>
      </c>
      <c r="K405" s="6" t="s">
        <v>32</v>
      </c>
      <c r="L405" s="9">
        <f t="shared" si="42"/>
        <v>24586.57</v>
      </c>
      <c r="M405" s="10">
        <f t="shared" si="43"/>
        <v>12563.37</v>
      </c>
      <c r="N405" s="10">
        <f t="shared" si="44"/>
        <v>12023.199999999999</v>
      </c>
      <c r="O405" s="11">
        <f t="shared" si="45"/>
        <v>0.48901493782988026</v>
      </c>
      <c r="P405" t="str">
        <f t="shared" si="46"/>
        <v>March</v>
      </c>
      <c r="Q405" t="str">
        <f t="shared" si="47"/>
        <v>Q1</v>
      </c>
      <c r="R405" t="str">
        <f t="shared" si="48"/>
        <v>High</v>
      </c>
    </row>
    <row r="406" spans="1:18" x14ac:dyDescent="0.3">
      <c r="A406" s="6" t="s">
        <v>610</v>
      </c>
      <c r="B406" s="7">
        <v>45669</v>
      </c>
      <c r="C406" s="6" t="s">
        <v>264</v>
      </c>
      <c r="D406" s="6" t="s">
        <v>21</v>
      </c>
      <c r="E406" s="6" t="s">
        <v>46</v>
      </c>
      <c r="F406" s="6" t="s">
        <v>80</v>
      </c>
      <c r="G406" s="6" t="s">
        <v>57</v>
      </c>
      <c r="H406" s="6">
        <v>6</v>
      </c>
      <c r="I406" s="8">
        <v>46.21</v>
      </c>
      <c r="J406" s="8">
        <v>37.020000000000003</v>
      </c>
      <c r="K406" s="6" t="s">
        <v>25</v>
      </c>
      <c r="L406" s="9">
        <f t="shared" si="42"/>
        <v>277.26</v>
      </c>
      <c r="M406" s="10">
        <f t="shared" si="43"/>
        <v>222.12</v>
      </c>
      <c r="N406" s="10">
        <f t="shared" si="44"/>
        <v>55.139999999999986</v>
      </c>
      <c r="O406" s="11">
        <f t="shared" si="45"/>
        <v>0.1988747024453581</v>
      </c>
      <c r="P406" t="str">
        <f t="shared" si="46"/>
        <v>January</v>
      </c>
      <c r="Q406" t="str">
        <f t="shared" si="47"/>
        <v>Q1</v>
      </c>
      <c r="R406" t="str">
        <f t="shared" si="48"/>
        <v>Low</v>
      </c>
    </row>
    <row r="407" spans="1:18" x14ac:dyDescent="0.3">
      <c r="A407" s="6" t="s">
        <v>611</v>
      </c>
      <c r="B407" s="7">
        <v>45877</v>
      </c>
      <c r="C407" s="6" t="s">
        <v>160</v>
      </c>
      <c r="D407" s="6" t="s">
        <v>28</v>
      </c>
      <c r="E407" s="6" t="s">
        <v>22</v>
      </c>
      <c r="F407" s="6" t="s">
        <v>68</v>
      </c>
      <c r="G407" s="6" t="s">
        <v>65</v>
      </c>
      <c r="H407" s="6">
        <v>12</v>
      </c>
      <c r="I407" s="8">
        <v>154.76</v>
      </c>
      <c r="J407" s="8">
        <v>138.56</v>
      </c>
      <c r="K407" s="6" t="s">
        <v>25</v>
      </c>
      <c r="L407" s="9">
        <f t="shared" si="42"/>
        <v>1857.12</v>
      </c>
      <c r="M407" s="10">
        <f t="shared" si="43"/>
        <v>1662.72</v>
      </c>
      <c r="N407" s="10">
        <f t="shared" si="44"/>
        <v>194.39999999999986</v>
      </c>
      <c r="O407" s="11">
        <f t="shared" si="45"/>
        <v>0.10467821142414054</v>
      </c>
      <c r="P407" t="str">
        <f t="shared" si="46"/>
        <v>August</v>
      </c>
      <c r="Q407" t="str">
        <f t="shared" si="47"/>
        <v>Q3</v>
      </c>
      <c r="R407" t="str">
        <f t="shared" si="48"/>
        <v>Low</v>
      </c>
    </row>
    <row r="408" spans="1:18" x14ac:dyDescent="0.3">
      <c r="A408" s="6" t="s">
        <v>612</v>
      </c>
      <c r="B408" s="7">
        <v>45730</v>
      </c>
      <c r="C408" s="6" t="s">
        <v>54</v>
      </c>
      <c r="D408" s="6" t="s">
        <v>38</v>
      </c>
      <c r="E408" s="6" t="s">
        <v>46</v>
      </c>
      <c r="F408" s="6" t="s">
        <v>85</v>
      </c>
      <c r="G408" s="6" t="s">
        <v>60</v>
      </c>
      <c r="H408" s="6">
        <v>4</v>
      </c>
      <c r="I408" s="8">
        <v>1256.03</v>
      </c>
      <c r="J408" s="8">
        <v>666.31</v>
      </c>
      <c r="K408" s="6" t="s">
        <v>41</v>
      </c>
      <c r="L408" s="9">
        <f t="shared" si="42"/>
        <v>5024.12</v>
      </c>
      <c r="M408" s="10">
        <f t="shared" si="43"/>
        <v>2665.24</v>
      </c>
      <c r="N408" s="10">
        <f t="shared" si="44"/>
        <v>2358.88</v>
      </c>
      <c r="O408" s="11">
        <f t="shared" si="45"/>
        <v>0.46951107855704088</v>
      </c>
      <c r="P408" t="str">
        <f t="shared" si="46"/>
        <v>March</v>
      </c>
      <c r="Q408" t="str">
        <f t="shared" si="47"/>
        <v>Q1</v>
      </c>
      <c r="R408" t="str">
        <f t="shared" si="48"/>
        <v>Low</v>
      </c>
    </row>
    <row r="409" spans="1:18" x14ac:dyDescent="0.3">
      <c r="A409" s="6" t="s">
        <v>613</v>
      </c>
      <c r="B409" s="7">
        <v>45811</v>
      </c>
      <c r="C409" s="6" t="s">
        <v>614</v>
      </c>
      <c r="D409" s="6" t="s">
        <v>38</v>
      </c>
      <c r="E409" s="6" t="s">
        <v>22</v>
      </c>
      <c r="F409" s="6" t="s">
        <v>56</v>
      </c>
      <c r="G409" s="6" t="s">
        <v>24</v>
      </c>
      <c r="H409" s="6">
        <v>20</v>
      </c>
      <c r="I409" s="8">
        <v>1140.9100000000001</v>
      </c>
      <c r="J409" s="8">
        <v>616.22</v>
      </c>
      <c r="K409" s="6" t="s">
        <v>32</v>
      </c>
      <c r="L409" s="9">
        <f t="shared" si="42"/>
        <v>22818.2</v>
      </c>
      <c r="M409" s="10">
        <f t="shared" si="43"/>
        <v>12324.400000000001</v>
      </c>
      <c r="N409" s="10">
        <f t="shared" si="44"/>
        <v>10493.8</v>
      </c>
      <c r="O409" s="11">
        <f t="shared" si="45"/>
        <v>0.45988728295834025</v>
      </c>
      <c r="P409" t="str">
        <f t="shared" si="46"/>
        <v>June</v>
      </c>
      <c r="Q409" t="str">
        <f t="shared" si="47"/>
        <v>Q2</v>
      </c>
      <c r="R409" t="str">
        <f t="shared" si="48"/>
        <v>High</v>
      </c>
    </row>
    <row r="410" spans="1:18" x14ac:dyDescent="0.3">
      <c r="A410" s="6" t="s">
        <v>615</v>
      </c>
      <c r="B410" s="7">
        <v>45840</v>
      </c>
      <c r="C410" s="6" t="s">
        <v>377</v>
      </c>
      <c r="D410" s="6" t="s">
        <v>28</v>
      </c>
      <c r="E410" s="6" t="s">
        <v>22</v>
      </c>
      <c r="F410" s="6" t="s">
        <v>56</v>
      </c>
      <c r="G410" s="6" t="s">
        <v>24</v>
      </c>
      <c r="H410" s="6">
        <v>20</v>
      </c>
      <c r="I410" s="8">
        <v>1014.5</v>
      </c>
      <c r="J410" s="8">
        <v>545.17999999999995</v>
      </c>
      <c r="K410" s="6" t="s">
        <v>32</v>
      </c>
      <c r="L410" s="9">
        <f t="shared" si="42"/>
        <v>20290</v>
      </c>
      <c r="M410" s="10">
        <f t="shared" si="43"/>
        <v>10903.599999999999</v>
      </c>
      <c r="N410" s="10">
        <f t="shared" si="44"/>
        <v>9386.4000000000015</v>
      </c>
      <c r="O410" s="11">
        <f t="shared" si="45"/>
        <v>0.46261212419911296</v>
      </c>
      <c r="P410" t="str">
        <f t="shared" si="46"/>
        <v>July</v>
      </c>
      <c r="Q410" t="str">
        <f t="shared" si="47"/>
        <v>Q3</v>
      </c>
      <c r="R410" t="str">
        <f t="shared" si="48"/>
        <v>High</v>
      </c>
    </row>
    <row r="411" spans="1:18" x14ac:dyDescent="0.3">
      <c r="A411" s="6" t="s">
        <v>616</v>
      </c>
      <c r="B411" s="7">
        <v>45665</v>
      </c>
      <c r="C411" s="6" t="s">
        <v>174</v>
      </c>
      <c r="D411" s="6" t="s">
        <v>38</v>
      </c>
      <c r="E411" s="6" t="s">
        <v>22</v>
      </c>
      <c r="F411" s="6" t="s">
        <v>68</v>
      </c>
      <c r="G411" s="6" t="s">
        <v>40</v>
      </c>
      <c r="H411" s="6">
        <v>9</v>
      </c>
      <c r="I411" s="8">
        <v>335.46</v>
      </c>
      <c r="J411" s="8">
        <v>289.69</v>
      </c>
      <c r="K411" s="6" t="s">
        <v>32</v>
      </c>
      <c r="L411" s="9">
        <f t="shared" si="42"/>
        <v>3019.14</v>
      </c>
      <c r="M411" s="10">
        <f t="shared" si="43"/>
        <v>2607.21</v>
      </c>
      <c r="N411" s="10">
        <f t="shared" si="44"/>
        <v>411.92999999999984</v>
      </c>
      <c r="O411" s="11">
        <f t="shared" si="45"/>
        <v>0.13643951588863049</v>
      </c>
      <c r="P411" t="str">
        <f t="shared" si="46"/>
        <v>January</v>
      </c>
      <c r="Q411" t="str">
        <f t="shared" si="47"/>
        <v>Q1</v>
      </c>
      <c r="R411" t="str">
        <f t="shared" si="48"/>
        <v>Low</v>
      </c>
    </row>
    <row r="412" spans="1:18" x14ac:dyDescent="0.3">
      <c r="A412" s="6" t="s">
        <v>617</v>
      </c>
      <c r="B412" s="7">
        <v>45725</v>
      </c>
      <c r="C412" s="6" t="s">
        <v>225</v>
      </c>
      <c r="D412" s="6" t="s">
        <v>21</v>
      </c>
      <c r="E412" s="6" t="s">
        <v>22</v>
      </c>
      <c r="F412" s="6" t="s">
        <v>56</v>
      </c>
      <c r="G412" s="6" t="s">
        <v>65</v>
      </c>
      <c r="H412" s="6">
        <v>19</v>
      </c>
      <c r="I412" s="8">
        <v>681.46</v>
      </c>
      <c r="J412" s="8">
        <v>450.63</v>
      </c>
      <c r="K412" s="6" t="s">
        <v>25</v>
      </c>
      <c r="L412" s="9">
        <f t="shared" si="42"/>
        <v>12947.740000000002</v>
      </c>
      <c r="M412" s="10">
        <f t="shared" si="43"/>
        <v>8561.9699999999993</v>
      </c>
      <c r="N412" s="10">
        <f t="shared" si="44"/>
        <v>4385.7700000000023</v>
      </c>
      <c r="O412" s="11">
        <f t="shared" si="45"/>
        <v>0.33872861209755539</v>
      </c>
      <c r="P412" t="str">
        <f t="shared" si="46"/>
        <v>March</v>
      </c>
      <c r="Q412" t="str">
        <f t="shared" si="47"/>
        <v>Q1</v>
      </c>
      <c r="R412" t="str">
        <f t="shared" si="48"/>
        <v>High</v>
      </c>
    </row>
    <row r="413" spans="1:18" x14ac:dyDescent="0.3">
      <c r="A413" s="6" t="s">
        <v>618</v>
      </c>
      <c r="B413" s="7">
        <v>45994</v>
      </c>
      <c r="C413" s="6" t="s">
        <v>619</v>
      </c>
      <c r="D413" s="6" t="s">
        <v>55</v>
      </c>
      <c r="E413" s="6" t="s">
        <v>22</v>
      </c>
      <c r="F413" s="6" t="s">
        <v>68</v>
      </c>
      <c r="G413" s="6" t="s">
        <v>60</v>
      </c>
      <c r="H413" s="6">
        <v>8</v>
      </c>
      <c r="I413" s="8">
        <v>310.37</v>
      </c>
      <c r="J413" s="8">
        <v>213.54</v>
      </c>
      <c r="K413" s="6" t="s">
        <v>32</v>
      </c>
      <c r="L413" s="9">
        <f t="shared" si="42"/>
        <v>2482.96</v>
      </c>
      <c r="M413" s="10">
        <f t="shared" si="43"/>
        <v>1708.32</v>
      </c>
      <c r="N413" s="10">
        <f t="shared" si="44"/>
        <v>774.6400000000001</v>
      </c>
      <c r="O413" s="11">
        <f t="shared" si="45"/>
        <v>0.31198247253278349</v>
      </c>
      <c r="P413" t="str">
        <f t="shared" si="46"/>
        <v>December</v>
      </c>
      <c r="Q413" t="str">
        <f t="shared" si="47"/>
        <v>Q4</v>
      </c>
      <c r="R413" t="str">
        <f t="shared" si="48"/>
        <v>Low</v>
      </c>
    </row>
    <row r="414" spans="1:18" x14ac:dyDescent="0.3">
      <c r="A414" s="6" t="s">
        <v>620</v>
      </c>
      <c r="B414" s="7">
        <v>46016</v>
      </c>
      <c r="C414" s="6" t="s">
        <v>223</v>
      </c>
      <c r="D414" s="6" t="s">
        <v>21</v>
      </c>
      <c r="E414" s="6" t="s">
        <v>22</v>
      </c>
      <c r="F414" s="6" t="s">
        <v>23</v>
      </c>
      <c r="G414" s="6" t="s">
        <v>24</v>
      </c>
      <c r="H414" s="6">
        <v>18</v>
      </c>
      <c r="I414" s="8">
        <v>1097.4000000000001</v>
      </c>
      <c r="J414" s="8">
        <v>907.22</v>
      </c>
      <c r="K414" s="6" t="s">
        <v>25</v>
      </c>
      <c r="L414" s="9">
        <f t="shared" si="42"/>
        <v>19753.2</v>
      </c>
      <c r="M414" s="10">
        <f t="shared" si="43"/>
        <v>16329.960000000001</v>
      </c>
      <c r="N414" s="10">
        <f t="shared" si="44"/>
        <v>3423.24</v>
      </c>
      <c r="O414" s="11">
        <f t="shared" si="45"/>
        <v>0.17330052852196098</v>
      </c>
      <c r="P414" t="str">
        <f t="shared" si="46"/>
        <v>December</v>
      </c>
      <c r="Q414" t="str">
        <f t="shared" si="47"/>
        <v>Q4</v>
      </c>
      <c r="R414" t="str">
        <f t="shared" si="48"/>
        <v>High</v>
      </c>
    </row>
    <row r="415" spans="1:18" x14ac:dyDescent="0.3">
      <c r="A415" s="6" t="s">
        <v>621</v>
      </c>
      <c r="B415" s="7">
        <v>45679</v>
      </c>
      <c r="C415" s="6" t="s">
        <v>272</v>
      </c>
      <c r="D415" s="6" t="s">
        <v>28</v>
      </c>
      <c r="E415" s="6" t="s">
        <v>46</v>
      </c>
      <c r="F415" s="6" t="s">
        <v>80</v>
      </c>
      <c r="G415" s="6" t="s">
        <v>60</v>
      </c>
      <c r="H415" s="6">
        <v>17</v>
      </c>
      <c r="I415" s="8">
        <v>1354.23</v>
      </c>
      <c r="J415" s="8">
        <v>1197.75</v>
      </c>
      <c r="K415" s="6" t="s">
        <v>41</v>
      </c>
      <c r="L415" s="9">
        <f t="shared" si="42"/>
        <v>23021.91</v>
      </c>
      <c r="M415" s="10">
        <f t="shared" si="43"/>
        <v>20361.75</v>
      </c>
      <c r="N415" s="10">
        <f t="shared" si="44"/>
        <v>2660.16</v>
      </c>
      <c r="O415" s="11">
        <f t="shared" si="45"/>
        <v>0.11554905739793092</v>
      </c>
      <c r="P415" t="str">
        <f t="shared" si="46"/>
        <v>January</v>
      </c>
      <c r="Q415" t="str">
        <f t="shared" si="47"/>
        <v>Q1</v>
      </c>
      <c r="R415" t="str">
        <f t="shared" si="48"/>
        <v>High</v>
      </c>
    </row>
    <row r="416" spans="1:18" x14ac:dyDescent="0.3">
      <c r="A416" s="6" t="s">
        <v>622</v>
      </c>
      <c r="B416" s="7">
        <v>45689</v>
      </c>
      <c r="C416" s="6" t="s">
        <v>300</v>
      </c>
      <c r="D416" s="6" t="s">
        <v>28</v>
      </c>
      <c r="E416" s="6" t="s">
        <v>22</v>
      </c>
      <c r="F416" s="6" t="s">
        <v>68</v>
      </c>
      <c r="G416" s="6" t="s">
        <v>60</v>
      </c>
      <c r="H416" s="6">
        <v>14</v>
      </c>
      <c r="I416" s="8">
        <v>542.85</v>
      </c>
      <c r="J416" s="8">
        <v>412.28</v>
      </c>
      <c r="K416" s="6" t="s">
        <v>41</v>
      </c>
      <c r="L416" s="9">
        <f t="shared" si="42"/>
        <v>7599.9000000000005</v>
      </c>
      <c r="M416" s="10">
        <f t="shared" si="43"/>
        <v>5771.92</v>
      </c>
      <c r="N416" s="10">
        <f t="shared" si="44"/>
        <v>1827.9800000000005</v>
      </c>
      <c r="O416" s="11">
        <f t="shared" si="45"/>
        <v>0.24052684903748739</v>
      </c>
      <c r="P416" t="str">
        <f t="shared" si="46"/>
        <v>February</v>
      </c>
      <c r="Q416" t="str">
        <f t="shared" si="47"/>
        <v>Q1</v>
      </c>
      <c r="R416" t="str">
        <f t="shared" si="48"/>
        <v>Low</v>
      </c>
    </row>
    <row r="417" spans="1:18" x14ac:dyDescent="0.3">
      <c r="A417" s="6" t="s">
        <v>623</v>
      </c>
      <c r="B417" s="7">
        <v>45710</v>
      </c>
      <c r="C417" s="6" t="s">
        <v>624</v>
      </c>
      <c r="D417" s="6" t="s">
        <v>21</v>
      </c>
      <c r="E417" s="6" t="s">
        <v>29</v>
      </c>
      <c r="F417" s="6" t="s">
        <v>39</v>
      </c>
      <c r="G417" s="6" t="s">
        <v>57</v>
      </c>
      <c r="H417" s="6">
        <v>7</v>
      </c>
      <c r="I417" s="8">
        <v>386.54</v>
      </c>
      <c r="J417" s="8">
        <v>281.56</v>
      </c>
      <c r="K417" s="6" t="s">
        <v>25</v>
      </c>
      <c r="L417" s="9">
        <f t="shared" si="42"/>
        <v>2705.78</v>
      </c>
      <c r="M417" s="10">
        <f t="shared" si="43"/>
        <v>1970.92</v>
      </c>
      <c r="N417" s="10">
        <f t="shared" si="44"/>
        <v>734.86000000000013</v>
      </c>
      <c r="O417" s="11">
        <f t="shared" si="45"/>
        <v>0.27158896880012423</v>
      </c>
      <c r="P417" t="str">
        <f t="shared" si="46"/>
        <v>February</v>
      </c>
      <c r="Q417" t="str">
        <f t="shared" si="47"/>
        <v>Q1</v>
      </c>
      <c r="R417" t="str">
        <f t="shared" si="48"/>
        <v>Low</v>
      </c>
    </row>
    <row r="418" spans="1:18" x14ac:dyDescent="0.3">
      <c r="A418" s="6" t="s">
        <v>625</v>
      </c>
      <c r="B418" s="7">
        <v>45766</v>
      </c>
      <c r="C418" s="6" t="s">
        <v>157</v>
      </c>
      <c r="D418" s="6" t="s">
        <v>55</v>
      </c>
      <c r="E418" s="6" t="s">
        <v>29</v>
      </c>
      <c r="F418" s="6" t="s">
        <v>30</v>
      </c>
      <c r="G418" s="6" t="s">
        <v>65</v>
      </c>
      <c r="H418" s="6">
        <v>20</v>
      </c>
      <c r="I418" s="8">
        <v>1164.99</v>
      </c>
      <c r="J418" s="8">
        <v>648.53</v>
      </c>
      <c r="K418" s="6" t="s">
        <v>41</v>
      </c>
      <c r="L418" s="9">
        <f t="shared" si="42"/>
        <v>23299.8</v>
      </c>
      <c r="M418" s="10">
        <f t="shared" si="43"/>
        <v>12970.599999999999</v>
      </c>
      <c r="N418" s="10">
        <f t="shared" si="44"/>
        <v>10329.200000000001</v>
      </c>
      <c r="O418" s="11">
        <f t="shared" si="45"/>
        <v>0.4433171100181118</v>
      </c>
      <c r="P418" t="str">
        <f t="shared" si="46"/>
        <v>April</v>
      </c>
      <c r="Q418" t="str">
        <f t="shared" si="47"/>
        <v>Q2</v>
      </c>
      <c r="R418" t="str">
        <f t="shared" si="48"/>
        <v>High</v>
      </c>
    </row>
    <row r="419" spans="1:18" x14ac:dyDescent="0.3">
      <c r="A419" s="6" t="s">
        <v>626</v>
      </c>
      <c r="B419" s="7">
        <v>45787</v>
      </c>
      <c r="C419" s="6" t="s">
        <v>114</v>
      </c>
      <c r="D419" s="6" t="s">
        <v>21</v>
      </c>
      <c r="E419" s="6" t="s">
        <v>22</v>
      </c>
      <c r="F419" s="6" t="s">
        <v>82</v>
      </c>
      <c r="G419" s="6" t="s">
        <v>65</v>
      </c>
      <c r="H419" s="6">
        <v>3</v>
      </c>
      <c r="I419" s="8">
        <v>1418.69</v>
      </c>
      <c r="J419" s="8">
        <v>715</v>
      </c>
      <c r="K419" s="6" t="s">
        <v>41</v>
      </c>
      <c r="L419" s="9">
        <f t="shared" si="42"/>
        <v>4256.07</v>
      </c>
      <c r="M419" s="10">
        <f t="shared" si="43"/>
        <v>2145</v>
      </c>
      <c r="N419" s="10">
        <f t="shared" si="44"/>
        <v>2111.0699999999997</v>
      </c>
      <c r="O419" s="11">
        <f t="shared" si="45"/>
        <v>0.49601392834234398</v>
      </c>
      <c r="P419" t="str">
        <f t="shared" si="46"/>
        <v>May</v>
      </c>
      <c r="Q419" t="str">
        <f t="shared" si="47"/>
        <v>Q2</v>
      </c>
      <c r="R419" t="str">
        <f t="shared" si="48"/>
        <v>Low</v>
      </c>
    </row>
    <row r="420" spans="1:18" x14ac:dyDescent="0.3">
      <c r="A420" s="6" t="s">
        <v>627</v>
      </c>
      <c r="B420" s="7">
        <v>45861</v>
      </c>
      <c r="C420" s="6" t="s">
        <v>249</v>
      </c>
      <c r="D420" s="6" t="s">
        <v>21</v>
      </c>
      <c r="E420" s="6" t="s">
        <v>29</v>
      </c>
      <c r="F420" s="6" t="s">
        <v>39</v>
      </c>
      <c r="G420" s="6" t="s">
        <v>40</v>
      </c>
      <c r="H420" s="6">
        <v>16</v>
      </c>
      <c r="I420" s="8">
        <v>700.09</v>
      </c>
      <c r="J420" s="8">
        <v>460.52</v>
      </c>
      <c r="K420" s="6" t="s">
        <v>25</v>
      </c>
      <c r="L420" s="9">
        <f t="shared" si="42"/>
        <v>11201.44</v>
      </c>
      <c r="M420" s="10">
        <f t="shared" si="43"/>
        <v>7368.32</v>
      </c>
      <c r="N420" s="10">
        <f t="shared" si="44"/>
        <v>3833.1200000000008</v>
      </c>
      <c r="O420" s="11">
        <f t="shared" si="45"/>
        <v>0.34219886014655265</v>
      </c>
      <c r="P420" t="str">
        <f t="shared" si="46"/>
        <v>July</v>
      </c>
      <c r="Q420" t="str">
        <f t="shared" si="47"/>
        <v>Q3</v>
      </c>
      <c r="R420" t="str">
        <f t="shared" si="48"/>
        <v>High</v>
      </c>
    </row>
    <row r="421" spans="1:18" x14ac:dyDescent="0.3">
      <c r="A421" s="6" t="s">
        <v>628</v>
      </c>
      <c r="B421" s="7">
        <v>45762</v>
      </c>
      <c r="C421" s="6" t="s">
        <v>566</v>
      </c>
      <c r="D421" s="6" t="s">
        <v>55</v>
      </c>
      <c r="E421" s="6" t="s">
        <v>22</v>
      </c>
      <c r="F421" s="6" t="s">
        <v>23</v>
      </c>
      <c r="G421" s="6" t="s">
        <v>60</v>
      </c>
      <c r="H421" s="6">
        <v>19</v>
      </c>
      <c r="I421" s="8">
        <v>189.91</v>
      </c>
      <c r="J421" s="8">
        <v>113.95</v>
      </c>
      <c r="K421" s="6" t="s">
        <v>32</v>
      </c>
      <c r="L421" s="9">
        <f t="shared" si="42"/>
        <v>3608.29</v>
      </c>
      <c r="M421" s="10">
        <f t="shared" si="43"/>
        <v>2165.0500000000002</v>
      </c>
      <c r="N421" s="10">
        <f t="shared" si="44"/>
        <v>1443.2399999999998</v>
      </c>
      <c r="O421" s="11">
        <f t="shared" si="45"/>
        <v>0.39997893739139589</v>
      </c>
      <c r="P421" t="str">
        <f t="shared" si="46"/>
        <v>April</v>
      </c>
      <c r="Q421" t="str">
        <f t="shared" si="47"/>
        <v>Q2</v>
      </c>
      <c r="R421" t="str">
        <f t="shared" si="48"/>
        <v>Low</v>
      </c>
    </row>
    <row r="422" spans="1:18" x14ac:dyDescent="0.3">
      <c r="A422" s="6" t="s">
        <v>629</v>
      </c>
      <c r="B422" s="7">
        <v>45838</v>
      </c>
      <c r="C422" s="6" t="s">
        <v>499</v>
      </c>
      <c r="D422" s="6" t="s">
        <v>55</v>
      </c>
      <c r="E422" s="6" t="s">
        <v>46</v>
      </c>
      <c r="F422" s="6" t="s">
        <v>80</v>
      </c>
      <c r="G422" s="6" t="s">
        <v>57</v>
      </c>
      <c r="H422" s="6">
        <v>5</v>
      </c>
      <c r="I422" s="8">
        <v>664.79</v>
      </c>
      <c r="J422" s="8">
        <v>554.79</v>
      </c>
      <c r="K422" s="6" t="s">
        <v>32</v>
      </c>
      <c r="L422" s="9">
        <f t="shared" si="42"/>
        <v>3323.95</v>
      </c>
      <c r="M422" s="10">
        <f t="shared" si="43"/>
        <v>2773.95</v>
      </c>
      <c r="N422" s="10">
        <f t="shared" si="44"/>
        <v>550</v>
      </c>
      <c r="O422" s="11">
        <f t="shared" si="45"/>
        <v>0.16546578618811958</v>
      </c>
      <c r="P422" t="str">
        <f t="shared" si="46"/>
        <v>June</v>
      </c>
      <c r="Q422" t="str">
        <f t="shared" si="47"/>
        <v>Q2</v>
      </c>
      <c r="R422" t="str">
        <f t="shared" si="48"/>
        <v>Low</v>
      </c>
    </row>
    <row r="423" spans="1:18" x14ac:dyDescent="0.3">
      <c r="A423" s="6" t="s">
        <v>630</v>
      </c>
      <c r="B423" s="7">
        <v>45996</v>
      </c>
      <c r="C423" s="6" t="s">
        <v>313</v>
      </c>
      <c r="D423" s="6" t="s">
        <v>38</v>
      </c>
      <c r="E423" s="6" t="s">
        <v>29</v>
      </c>
      <c r="F423" s="6" t="s">
        <v>35</v>
      </c>
      <c r="G423" s="6" t="s">
        <v>31</v>
      </c>
      <c r="H423" s="6">
        <v>6</v>
      </c>
      <c r="I423" s="8">
        <v>152.55000000000001</v>
      </c>
      <c r="J423" s="8">
        <v>122.11</v>
      </c>
      <c r="K423" s="6" t="s">
        <v>41</v>
      </c>
      <c r="L423" s="9">
        <f t="shared" si="42"/>
        <v>915.30000000000007</v>
      </c>
      <c r="M423" s="10">
        <f t="shared" si="43"/>
        <v>732.66</v>
      </c>
      <c r="N423" s="10">
        <f t="shared" si="44"/>
        <v>182.6400000000001</v>
      </c>
      <c r="O423" s="11">
        <f t="shared" si="45"/>
        <v>0.19954113405440849</v>
      </c>
      <c r="P423" t="str">
        <f t="shared" si="46"/>
        <v>December</v>
      </c>
      <c r="Q423" t="str">
        <f t="shared" si="47"/>
        <v>Q4</v>
      </c>
      <c r="R423" t="str">
        <f t="shared" si="48"/>
        <v>Low</v>
      </c>
    </row>
    <row r="424" spans="1:18" x14ac:dyDescent="0.3">
      <c r="A424" s="6" t="s">
        <v>631</v>
      </c>
      <c r="B424" s="7">
        <v>45805</v>
      </c>
      <c r="C424" s="6" t="s">
        <v>411</v>
      </c>
      <c r="D424" s="6" t="s">
        <v>55</v>
      </c>
      <c r="E424" s="6" t="s">
        <v>46</v>
      </c>
      <c r="F424" s="6" t="s">
        <v>73</v>
      </c>
      <c r="G424" s="6" t="s">
        <v>24</v>
      </c>
      <c r="H424" s="6">
        <v>16</v>
      </c>
      <c r="I424" s="8">
        <v>1281.72</v>
      </c>
      <c r="J424" s="8">
        <v>1019.43</v>
      </c>
      <c r="K424" s="6" t="s">
        <v>25</v>
      </c>
      <c r="L424" s="9">
        <f t="shared" si="42"/>
        <v>20507.52</v>
      </c>
      <c r="M424" s="10">
        <f t="shared" si="43"/>
        <v>16310.88</v>
      </c>
      <c r="N424" s="10">
        <f t="shared" si="44"/>
        <v>4196.6400000000012</v>
      </c>
      <c r="O424" s="11">
        <f t="shared" si="45"/>
        <v>0.20463907873794593</v>
      </c>
      <c r="P424" t="str">
        <f t="shared" si="46"/>
        <v>May</v>
      </c>
      <c r="Q424" t="str">
        <f t="shared" si="47"/>
        <v>Q2</v>
      </c>
      <c r="R424" t="str">
        <f t="shared" si="48"/>
        <v>High</v>
      </c>
    </row>
    <row r="425" spans="1:18" x14ac:dyDescent="0.3">
      <c r="A425" s="6" t="s">
        <v>632</v>
      </c>
      <c r="B425" s="7">
        <v>45947</v>
      </c>
      <c r="C425" s="6" t="s">
        <v>191</v>
      </c>
      <c r="D425" s="6" t="s">
        <v>28</v>
      </c>
      <c r="E425" s="6" t="s">
        <v>46</v>
      </c>
      <c r="F425" s="6" t="s">
        <v>73</v>
      </c>
      <c r="G425" s="6" t="s">
        <v>40</v>
      </c>
      <c r="H425" s="6">
        <v>17</v>
      </c>
      <c r="I425" s="8">
        <v>247.8</v>
      </c>
      <c r="J425" s="8">
        <v>195.52</v>
      </c>
      <c r="K425" s="6" t="s">
        <v>25</v>
      </c>
      <c r="L425" s="9">
        <f t="shared" si="42"/>
        <v>4212.6000000000004</v>
      </c>
      <c r="M425" s="10">
        <f t="shared" si="43"/>
        <v>3323.84</v>
      </c>
      <c r="N425" s="10">
        <f t="shared" si="44"/>
        <v>888.76000000000022</v>
      </c>
      <c r="O425" s="11">
        <f t="shared" si="45"/>
        <v>0.21097659402744151</v>
      </c>
      <c r="P425" t="str">
        <f t="shared" si="46"/>
        <v>October</v>
      </c>
      <c r="Q425" t="str">
        <f t="shared" si="47"/>
        <v>Q4</v>
      </c>
      <c r="R425" t="str">
        <f t="shared" si="48"/>
        <v>Low</v>
      </c>
    </row>
    <row r="426" spans="1:18" x14ac:dyDescent="0.3">
      <c r="A426" s="6" t="s">
        <v>633</v>
      </c>
      <c r="B426" s="7">
        <v>45865</v>
      </c>
      <c r="C426" s="6" t="s">
        <v>268</v>
      </c>
      <c r="D426" s="6" t="s">
        <v>28</v>
      </c>
      <c r="E426" s="6" t="s">
        <v>46</v>
      </c>
      <c r="F426" s="6" t="s">
        <v>80</v>
      </c>
      <c r="G426" s="6" t="s">
        <v>40</v>
      </c>
      <c r="H426" s="6">
        <v>2</v>
      </c>
      <c r="I426" s="8">
        <v>1111.0999999999999</v>
      </c>
      <c r="J426" s="8">
        <v>733.44</v>
      </c>
      <c r="K426" s="6" t="s">
        <v>41</v>
      </c>
      <c r="L426" s="9">
        <f t="shared" si="42"/>
        <v>2222.1999999999998</v>
      </c>
      <c r="M426" s="10">
        <f t="shared" si="43"/>
        <v>1466.88</v>
      </c>
      <c r="N426" s="10">
        <f t="shared" si="44"/>
        <v>755.31999999999971</v>
      </c>
      <c r="O426" s="11">
        <f t="shared" si="45"/>
        <v>0.33989739897398963</v>
      </c>
      <c r="P426" t="str">
        <f t="shared" si="46"/>
        <v>July</v>
      </c>
      <c r="Q426" t="str">
        <f t="shared" si="47"/>
        <v>Q3</v>
      </c>
      <c r="R426" t="str">
        <f t="shared" si="48"/>
        <v>Low</v>
      </c>
    </row>
    <row r="427" spans="1:18" x14ac:dyDescent="0.3">
      <c r="A427" s="6" t="s">
        <v>634</v>
      </c>
      <c r="B427" s="7">
        <v>45682</v>
      </c>
      <c r="C427" s="6" t="s">
        <v>326</v>
      </c>
      <c r="D427" s="6" t="s">
        <v>55</v>
      </c>
      <c r="E427" s="6" t="s">
        <v>29</v>
      </c>
      <c r="F427" s="6" t="s">
        <v>35</v>
      </c>
      <c r="G427" s="6" t="s">
        <v>65</v>
      </c>
      <c r="H427" s="6">
        <v>13</v>
      </c>
      <c r="I427" s="8">
        <v>288.49</v>
      </c>
      <c r="J427" s="8">
        <v>239.89</v>
      </c>
      <c r="K427" s="6" t="s">
        <v>25</v>
      </c>
      <c r="L427" s="9">
        <f t="shared" si="42"/>
        <v>3750.37</v>
      </c>
      <c r="M427" s="10">
        <f t="shared" si="43"/>
        <v>3118.5699999999997</v>
      </c>
      <c r="N427" s="10">
        <f t="shared" si="44"/>
        <v>631.80000000000018</v>
      </c>
      <c r="O427" s="11">
        <f t="shared" si="45"/>
        <v>0.16846337828000976</v>
      </c>
      <c r="P427" t="str">
        <f t="shared" si="46"/>
        <v>January</v>
      </c>
      <c r="Q427" t="str">
        <f t="shared" si="47"/>
        <v>Q1</v>
      </c>
      <c r="R427" t="str">
        <f t="shared" si="48"/>
        <v>Low</v>
      </c>
    </row>
    <row r="428" spans="1:18" x14ac:dyDescent="0.3">
      <c r="A428" s="6" t="s">
        <v>635</v>
      </c>
      <c r="B428" s="7">
        <v>46006</v>
      </c>
      <c r="C428" s="6" t="s">
        <v>528</v>
      </c>
      <c r="D428" s="6" t="s">
        <v>21</v>
      </c>
      <c r="E428" s="6" t="s">
        <v>29</v>
      </c>
      <c r="F428" s="6" t="s">
        <v>35</v>
      </c>
      <c r="G428" s="6" t="s">
        <v>40</v>
      </c>
      <c r="H428" s="6">
        <v>1</v>
      </c>
      <c r="I428" s="8">
        <v>1164.5999999999999</v>
      </c>
      <c r="J428" s="8">
        <v>751.12</v>
      </c>
      <c r="K428" s="6" t="s">
        <v>41</v>
      </c>
      <c r="L428" s="9">
        <f t="shared" si="42"/>
        <v>1164.5999999999999</v>
      </c>
      <c r="M428" s="10">
        <f t="shared" si="43"/>
        <v>751.12</v>
      </c>
      <c r="N428" s="10">
        <f t="shared" si="44"/>
        <v>413.4799999999999</v>
      </c>
      <c r="O428" s="11">
        <f t="shared" si="45"/>
        <v>0.35504035720419025</v>
      </c>
      <c r="P428" t="str">
        <f t="shared" si="46"/>
        <v>December</v>
      </c>
      <c r="Q428" t="str">
        <f t="shared" si="47"/>
        <v>Q4</v>
      </c>
      <c r="R428" t="str">
        <f t="shared" si="48"/>
        <v>Low</v>
      </c>
    </row>
    <row r="429" spans="1:18" x14ac:dyDescent="0.3">
      <c r="A429" s="6" t="s">
        <v>636</v>
      </c>
      <c r="B429" s="7">
        <v>45859</v>
      </c>
      <c r="C429" s="6" t="s">
        <v>360</v>
      </c>
      <c r="D429" s="6" t="s">
        <v>55</v>
      </c>
      <c r="E429" s="6" t="s">
        <v>29</v>
      </c>
      <c r="F429" s="6" t="s">
        <v>35</v>
      </c>
      <c r="G429" s="6" t="s">
        <v>57</v>
      </c>
      <c r="H429" s="6">
        <v>7</v>
      </c>
      <c r="I429" s="8">
        <v>58.14</v>
      </c>
      <c r="J429" s="8">
        <v>32.06</v>
      </c>
      <c r="K429" s="6" t="s">
        <v>25</v>
      </c>
      <c r="L429" s="9">
        <f t="shared" si="42"/>
        <v>406.98</v>
      </c>
      <c r="M429" s="10">
        <f t="shared" si="43"/>
        <v>224.42000000000002</v>
      </c>
      <c r="N429" s="10">
        <f t="shared" si="44"/>
        <v>182.56</v>
      </c>
      <c r="O429" s="11">
        <f t="shared" si="45"/>
        <v>0.44857241142070864</v>
      </c>
      <c r="P429" t="str">
        <f t="shared" si="46"/>
        <v>July</v>
      </c>
      <c r="Q429" t="str">
        <f t="shared" si="47"/>
        <v>Q3</v>
      </c>
      <c r="R429" t="str">
        <f t="shared" si="48"/>
        <v>Low</v>
      </c>
    </row>
    <row r="430" spans="1:18" x14ac:dyDescent="0.3">
      <c r="A430" s="6" t="s">
        <v>637</v>
      </c>
      <c r="B430" s="7">
        <v>45783</v>
      </c>
      <c r="C430" s="6" t="s">
        <v>266</v>
      </c>
      <c r="D430" s="6" t="s">
        <v>38</v>
      </c>
      <c r="E430" s="6" t="s">
        <v>22</v>
      </c>
      <c r="F430" s="6" t="s">
        <v>56</v>
      </c>
      <c r="G430" s="6" t="s">
        <v>57</v>
      </c>
      <c r="H430" s="6">
        <v>8</v>
      </c>
      <c r="I430" s="8">
        <v>99.16</v>
      </c>
      <c r="J430" s="8">
        <v>63.49</v>
      </c>
      <c r="K430" s="6" t="s">
        <v>25</v>
      </c>
      <c r="L430" s="9">
        <f t="shared" si="42"/>
        <v>793.28</v>
      </c>
      <c r="M430" s="10">
        <f t="shared" si="43"/>
        <v>507.92</v>
      </c>
      <c r="N430" s="10">
        <f t="shared" si="44"/>
        <v>285.35999999999996</v>
      </c>
      <c r="O430" s="11">
        <f t="shared" si="45"/>
        <v>0.3597216619604679</v>
      </c>
      <c r="P430" t="str">
        <f t="shared" si="46"/>
        <v>May</v>
      </c>
      <c r="Q430" t="str">
        <f t="shared" si="47"/>
        <v>Q2</v>
      </c>
      <c r="R430" t="str">
        <f t="shared" si="48"/>
        <v>Low</v>
      </c>
    </row>
    <row r="431" spans="1:18" x14ac:dyDescent="0.3">
      <c r="A431" s="6" t="s">
        <v>638</v>
      </c>
      <c r="B431" s="7">
        <v>45900</v>
      </c>
      <c r="C431" s="6" t="s">
        <v>417</v>
      </c>
      <c r="D431" s="6" t="s">
        <v>38</v>
      </c>
      <c r="E431" s="6" t="s">
        <v>29</v>
      </c>
      <c r="F431" s="6" t="s">
        <v>35</v>
      </c>
      <c r="G431" s="6" t="s">
        <v>57</v>
      </c>
      <c r="H431" s="6">
        <v>9</v>
      </c>
      <c r="I431" s="8">
        <v>1209.6099999999999</v>
      </c>
      <c r="J431" s="8">
        <v>768.36</v>
      </c>
      <c r="K431" s="6" t="s">
        <v>41</v>
      </c>
      <c r="L431" s="9">
        <f t="shared" si="42"/>
        <v>10886.49</v>
      </c>
      <c r="M431" s="10">
        <f t="shared" si="43"/>
        <v>6915.24</v>
      </c>
      <c r="N431" s="10">
        <f t="shared" si="44"/>
        <v>3971.25</v>
      </c>
      <c r="O431" s="11">
        <f t="shared" si="45"/>
        <v>0.36478699746199189</v>
      </c>
      <c r="P431" t="str">
        <f t="shared" si="46"/>
        <v>August</v>
      </c>
      <c r="Q431" t="str">
        <f t="shared" si="47"/>
        <v>Q3</v>
      </c>
      <c r="R431" t="str">
        <f t="shared" si="48"/>
        <v>High</v>
      </c>
    </row>
    <row r="432" spans="1:18" x14ac:dyDescent="0.3">
      <c r="A432" s="6" t="s">
        <v>639</v>
      </c>
      <c r="B432" s="7">
        <v>45685</v>
      </c>
      <c r="C432" s="6" t="s">
        <v>328</v>
      </c>
      <c r="D432" s="6" t="s">
        <v>28</v>
      </c>
      <c r="E432" s="6" t="s">
        <v>22</v>
      </c>
      <c r="F432" s="6" t="s">
        <v>56</v>
      </c>
      <c r="G432" s="6" t="s">
        <v>31</v>
      </c>
      <c r="H432" s="6">
        <v>6</v>
      </c>
      <c r="I432" s="8">
        <v>730.02</v>
      </c>
      <c r="J432" s="8">
        <v>642.53</v>
      </c>
      <c r="K432" s="6" t="s">
        <v>32</v>
      </c>
      <c r="L432" s="9">
        <f t="shared" si="42"/>
        <v>4380.12</v>
      </c>
      <c r="M432" s="10">
        <f t="shared" si="43"/>
        <v>3855.18</v>
      </c>
      <c r="N432" s="10">
        <f t="shared" si="44"/>
        <v>524.94000000000005</v>
      </c>
      <c r="O432" s="11">
        <f t="shared" si="45"/>
        <v>0.1198460316155722</v>
      </c>
      <c r="P432" t="str">
        <f t="shared" si="46"/>
        <v>January</v>
      </c>
      <c r="Q432" t="str">
        <f t="shared" si="47"/>
        <v>Q1</v>
      </c>
      <c r="R432" t="str">
        <f t="shared" si="48"/>
        <v>Low</v>
      </c>
    </row>
    <row r="433" spans="1:18" x14ac:dyDescent="0.3">
      <c r="A433" s="6" t="s">
        <v>640</v>
      </c>
      <c r="B433" s="7">
        <v>45696</v>
      </c>
      <c r="C433" s="6" t="s">
        <v>249</v>
      </c>
      <c r="D433" s="6" t="s">
        <v>21</v>
      </c>
      <c r="E433" s="6" t="s">
        <v>29</v>
      </c>
      <c r="F433" s="6" t="s">
        <v>35</v>
      </c>
      <c r="G433" s="6" t="s">
        <v>40</v>
      </c>
      <c r="H433" s="6">
        <v>19</v>
      </c>
      <c r="I433" s="8">
        <v>1423.89</v>
      </c>
      <c r="J433" s="8">
        <v>1152.72</v>
      </c>
      <c r="K433" s="6" t="s">
        <v>41</v>
      </c>
      <c r="L433" s="9">
        <f t="shared" si="42"/>
        <v>27053.910000000003</v>
      </c>
      <c r="M433" s="10">
        <f t="shared" si="43"/>
        <v>21901.68</v>
      </c>
      <c r="N433" s="10">
        <f t="shared" si="44"/>
        <v>5152.2300000000032</v>
      </c>
      <c r="O433" s="11">
        <f t="shared" si="45"/>
        <v>0.19044308197964741</v>
      </c>
      <c r="P433" t="str">
        <f t="shared" si="46"/>
        <v>February</v>
      </c>
      <c r="Q433" t="str">
        <f t="shared" si="47"/>
        <v>Q1</v>
      </c>
      <c r="R433" t="str">
        <f t="shared" si="48"/>
        <v>High</v>
      </c>
    </row>
    <row r="434" spans="1:18" x14ac:dyDescent="0.3">
      <c r="A434" s="6" t="s">
        <v>641</v>
      </c>
      <c r="B434" s="7">
        <v>45711</v>
      </c>
      <c r="C434" s="6" t="s">
        <v>285</v>
      </c>
      <c r="D434" s="6" t="s">
        <v>28</v>
      </c>
      <c r="E434" s="6" t="s">
        <v>22</v>
      </c>
      <c r="F434" s="6" t="s">
        <v>23</v>
      </c>
      <c r="G434" s="6" t="s">
        <v>24</v>
      </c>
      <c r="H434" s="6">
        <v>4</v>
      </c>
      <c r="I434" s="8">
        <v>1085.93</v>
      </c>
      <c r="J434" s="8">
        <v>766.58</v>
      </c>
      <c r="K434" s="6" t="s">
        <v>32</v>
      </c>
      <c r="L434" s="9">
        <f t="shared" si="42"/>
        <v>4343.72</v>
      </c>
      <c r="M434" s="10">
        <f t="shared" si="43"/>
        <v>3066.32</v>
      </c>
      <c r="N434" s="10">
        <f t="shared" si="44"/>
        <v>1277.4000000000001</v>
      </c>
      <c r="O434" s="11">
        <f t="shared" si="45"/>
        <v>0.29407972889596934</v>
      </c>
      <c r="P434" t="str">
        <f t="shared" si="46"/>
        <v>February</v>
      </c>
      <c r="Q434" t="str">
        <f t="shared" si="47"/>
        <v>Q1</v>
      </c>
      <c r="R434" t="str">
        <f t="shared" si="48"/>
        <v>Low</v>
      </c>
    </row>
    <row r="435" spans="1:18" x14ac:dyDescent="0.3">
      <c r="A435" s="6" t="s">
        <v>642</v>
      </c>
      <c r="B435" s="7">
        <v>45951</v>
      </c>
      <c r="C435" s="6" t="s">
        <v>98</v>
      </c>
      <c r="D435" s="6" t="s">
        <v>21</v>
      </c>
      <c r="E435" s="6" t="s">
        <v>22</v>
      </c>
      <c r="F435" s="6" t="s">
        <v>82</v>
      </c>
      <c r="G435" s="6" t="s">
        <v>24</v>
      </c>
      <c r="H435" s="6">
        <v>17</v>
      </c>
      <c r="I435" s="8">
        <v>368.01</v>
      </c>
      <c r="J435" s="8">
        <v>203.08</v>
      </c>
      <c r="K435" s="6" t="s">
        <v>25</v>
      </c>
      <c r="L435" s="9">
        <f t="shared" si="42"/>
        <v>6256.17</v>
      </c>
      <c r="M435" s="10">
        <f t="shared" si="43"/>
        <v>3452.36</v>
      </c>
      <c r="N435" s="10">
        <f t="shared" si="44"/>
        <v>2803.81</v>
      </c>
      <c r="O435" s="11">
        <f t="shared" si="45"/>
        <v>0.44816716937039752</v>
      </c>
      <c r="P435" t="str">
        <f t="shared" si="46"/>
        <v>October</v>
      </c>
      <c r="Q435" t="str">
        <f t="shared" si="47"/>
        <v>Q4</v>
      </c>
      <c r="R435" t="str">
        <f t="shared" si="48"/>
        <v>Low</v>
      </c>
    </row>
    <row r="436" spans="1:18" x14ac:dyDescent="0.3">
      <c r="A436" s="6" t="s">
        <v>643</v>
      </c>
      <c r="B436" s="7">
        <v>45707</v>
      </c>
      <c r="C436" s="6" t="s">
        <v>543</v>
      </c>
      <c r="D436" s="6" t="s">
        <v>38</v>
      </c>
      <c r="E436" s="6" t="s">
        <v>29</v>
      </c>
      <c r="F436" s="6" t="s">
        <v>50</v>
      </c>
      <c r="G436" s="6" t="s">
        <v>65</v>
      </c>
      <c r="H436" s="6">
        <v>1</v>
      </c>
      <c r="I436" s="8">
        <v>64.09</v>
      </c>
      <c r="J436" s="8">
        <v>37.200000000000003</v>
      </c>
      <c r="K436" s="6" t="s">
        <v>25</v>
      </c>
      <c r="L436" s="9">
        <f t="shared" si="42"/>
        <v>64.09</v>
      </c>
      <c r="M436" s="10">
        <f t="shared" si="43"/>
        <v>37.200000000000003</v>
      </c>
      <c r="N436" s="10">
        <f t="shared" si="44"/>
        <v>26.89</v>
      </c>
      <c r="O436" s="11">
        <f t="shared" si="45"/>
        <v>0.41956623498205647</v>
      </c>
      <c r="P436" t="str">
        <f t="shared" si="46"/>
        <v>February</v>
      </c>
      <c r="Q436" t="str">
        <f t="shared" si="47"/>
        <v>Q1</v>
      </c>
      <c r="R436" t="str">
        <f t="shared" si="48"/>
        <v>Low</v>
      </c>
    </row>
    <row r="437" spans="1:18" x14ac:dyDescent="0.3">
      <c r="A437" s="6" t="s">
        <v>644</v>
      </c>
      <c r="B437" s="7">
        <v>45886</v>
      </c>
      <c r="C437" s="6" t="s">
        <v>213</v>
      </c>
      <c r="D437" s="6" t="s">
        <v>55</v>
      </c>
      <c r="E437" s="6" t="s">
        <v>46</v>
      </c>
      <c r="F437" s="6" t="s">
        <v>80</v>
      </c>
      <c r="G437" s="6" t="s">
        <v>65</v>
      </c>
      <c r="H437" s="6">
        <v>10</v>
      </c>
      <c r="I437" s="8">
        <v>485.5</v>
      </c>
      <c r="J437" s="8">
        <v>344.86</v>
      </c>
      <c r="K437" s="6" t="s">
        <v>32</v>
      </c>
      <c r="L437" s="9">
        <f t="shared" si="42"/>
        <v>4855</v>
      </c>
      <c r="M437" s="10">
        <f t="shared" si="43"/>
        <v>3448.6000000000004</v>
      </c>
      <c r="N437" s="10">
        <f t="shared" si="44"/>
        <v>1406.3999999999996</v>
      </c>
      <c r="O437" s="11">
        <f t="shared" si="45"/>
        <v>0.28968074150360446</v>
      </c>
      <c r="P437" t="str">
        <f t="shared" si="46"/>
        <v>August</v>
      </c>
      <c r="Q437" t="str">
        <f t="shared" si="47"/>
        <v>Q3</v>
      </c>
      <c r="R437" t="str">
        <f t="shared" si="48"/>
        <v>Low</v>
      </c>
    </row>
    <row r="438" spans="1:18" x14ac:dyDescent="0.3">
      <c r="A438" s="6" t="s">
        <v>645</v>
      </c>
      <c r="B438" s="7">
        <v>45699</v>
      </c>
      <c r="C438" s="6" t="s">
        <v>168</v>
      </c>
      <c r="D438" s="6" t="s">
        <v>28</v>
      </c>
      <c r="E438" s="6" t="s">
        <v>46</v>
      </c>
      <c r="F438" s="6" t="s">
        <v>80</v>
      </c>
      <c r="G438" s="6" t="s">
        <v>57</v>
      </c>
      <c r="H438" s="6">
        <v>7</v>
      </c>
      <c r="I438" s="8">
        <v>720.22</v>
      </c>
      <c r="J438" s="8">
        <v>501.81</v>
      </c>
      <c r="K438" s="6" t="s">
        <v>25</v>
      </c>
      <c r="L438" s="9">
        <f t="shared" si="42"/>
        <v>5041.54</v>
      </c>
      <c r="M438" s="10">
        <f t="shared" si="43"/>
        <v>3512.67</v>
      </c>
      <c r="N438" s="10">
        <f t="shared" si="44"/>
        <v>1528.87</v>
      </c>
      <c r="O438" s="11">
        <f t="shared" si="45"/>
        <v>0.30325456110632859</v>
      </c>
      <c r="P438" t="str">
        <f t="shared" si="46"/>
        <v>February</v>
      </c>
      <c r="Q438" t="str">
        <f t="shared" si="47"/>
        <v>Q1</v>
      </c>
      <c r="R438" t="str">
        <f t="shared" si="48"/>
        <v>Low</v>
      </c>
    </row>
    <row r="439" spans="1:18" x14ac:dyDescent="0.3">
      <c r="A439" s="6" t="s">
        <v>646</v>
      </c>
      <c r="B439" s="7">
        <v>45925</v>
      </c>
      <c r="C439" s="6" t="s">
        <v>189</v>
      </c>
      <c r="D439" s="6" t="s">
        <v>28</v>
      </c>
      <c r="E439" s="6" t="s">
        <v>29</v>
      </c>
      <c r="F439" s="6" t="s">
        <v>50</v>
      </c>
      <c r="G439" s="6" t="s">
        <v>65</v>
      </c>
      <c r="H439" s="6">
        <v>14</v>
      </c>
      <c r="I439" s="8">
        <v>378.66</v>
      </c>
      <c r="J439" s="8">
        <v>229.97</v>
      </c>
      <c r="K439" s="6" t="s">
        <v>32</v>
      </c>
      <c r="L439" s="9">
        <f t="shared" si="42"/>
        <v>5301.2400000000007</v>
      </c>
      <c r="M439" s="10">
        <f t="shared" si="43"/>
        <v>3219.58</v>
      </c>
      <c r="N439" s="10">
        <f t="shared" si="44"/>
        <v>2081.6600000000008</v>
      </c>
      <c r="O439" s="11">
        <f t="shared" si="45"/>
        <v>0.39267416679871131</v>
      </c>
      <c r="P439" t="str">
        <f t="shared" si="46"/>
        <v>September</v>
      </c>
      <c r="Q439" t="str">
        <f t="shared" si="47"/>
        <v>Q3</v>
      </c>
      <c r="R439" t="str">
        <f t="shared" si="48"/>
        <v>Low</v>
      </c>
    </row>
    <row r="440" spans="1:18" x14ac:dyDescent="0.3">
      <c r="A440" s="6" t="s">
        <v>647</v>
      </c>
      <c r="B440" s="7">
        <v>45939</v>
      </c>
      <c r="C440" s="6" t="s">
        <v>648</v>
      </c>
      <c r="D440" s="6" t="s">
        <v>38</v>
      </c>
      <c r="E440" s="6" t="s">
        <v>46</v>
      </c>
      <c r="F440" s="6" t="s">
        <v>73</v>
      </c>
      <c r="G440" s="6" t="s">
        <v>60</v>
      </c>
      <c r="H440" s="6">
        <v>17</v>
      </c>
      <c r="I440" s="8">
        <v>814.98</v>
      </c>
      <c r="J440" s="8">
        <v>705.33</v>
      </c>
      <c r="K440" s="6" t="s">
        <v>25</v>
      </c>
      <c r="L440" s="9">
        <f t="shared" si="42"/>
        <v>13854.66</v>
      </c>
      <c r="M440" s="10">
        <f t="shared" si="43"/>
        <v>11990.61</v>
      </c>
      <c r="N440" s="10">
        <f t="shared" si="44"/>
        <v>1864.0499999999993</v>
      </c>
      <c r="O440" s="11">
        <f t="shared" si="45"/>
        <v>0.13454317897371709</v>
      </c>
      <c r="P440" t="str">
        <f t="shared" si="46"/>
        <v>October</v>
      </c>
      <c r="Q440" t="str">
        <f t="shared" si="47"/>
        <v>Q4</v>
      </c>
      <c r="R440" t="str">
        <f t="shared" si="48"/>
        <v>High</v>
      </c>
    </row>
    <row r="441" spans="1:18" x14ac:dyDescent="0.3">
      <c r="A441" s="6" t="s">
        <v>649</v>
      </c>
      <c r="B441" s="7">
        <v>45745</v>
      </c>
      <c r="C441" s="6" t="s">
        <v>477</v>
      </c>
      <c r="D441" s="6" t="s">
        <v>28</v>
      </c>
      <c r="E441" s="6" t="s">
        <v>46</v>
      </c>
      <c r="F441" s="6" t="s">
        <v>85</v>
      </c>
      <c r="G441" s="6" t="s">
        <v>40</v>
      </c>
      <c r="H441" s="6">
        <v>20</v>
      </c>
      <c r="I441" s="8">
        <v>703.55</v>
      </c>
      <c r="J441" s="8">
        <v>578.58000000000004</v>
      </c>
      <c r="K441" s="6" t="s">
        <v>32</v>
      </c>
      <c r="L441" s="9">
        <f t="shared" si="42"/>
        <v>14071</v>
      </c>
      <c r="M441" s="10">
        <f t="shared" si="43"/>
        <v>11571.6</v>
      </c>
      <c r="N441" s="10">
        <f t="shared" si="44"/>
        <v>2499.3999999999996</v>
      </c>
      <c r="O441" s="11">
        <f t="shared" si="45"/>
        <v>0.17762774500746212</v>
      </c>
      <c r="P441" t="str">
        <f t="shared" si="46"/>
        <v>March</v>
      </c>
      <c r="Q441" t="str">
        <f t="shared" si="47"/>
        <v>Q1</v>
      </c>
      <c r="R441" t="str">
        <f t="shared" si="48"/>
        <v>High</v>
      </c>
    </row>
    <row r="442" spans="1:18" x14ac:dyDescent="0.3">
      <c r="A442" s="6" t="s">
        <v>650</v>
      </c>
      <c r="B442" s="7">
        <v>45991</v>
      </c>
      <c r="C442" s="6" t="s">
        <v>179</v>
      </c>
      <c r="D442" s="6" t="s">
        <v>21</v>
      </c>
      <c r="E442" s="6" t="s">
        <v>22</v>
      </c>
      <c r="F442" s="6" t="s">
        <v>68</v>
      </c>
      <c r="G442" s="6" t="s">
        <v>65</v>
      </c>
      <c r="H442" s="6">
        <v>10</v>
      </c>
      <c r="I442" s="8">
        <v>1296.83</v>
      </c>
      <c r="J442" s="8">
        <v>773.36</v>
      </c>
      <c r="K442" s="6" t="s">
        <v>41</v>
      </c>
      <c r="L442" s="9">
        <f t="shared" si="42"/>
        <v>12968.3</v>
      </c>
      <c r="M442" s="10">
        <f t="shared" si="43"/>
        <v>7733.6</v>
      </c>
      <c r="N442" s="10">
        <f t="shared" si="44"/>
        <v>5234.6999999999989</v>
      </c>
      <c r="O442" s="11">
        <f t="shared" si="45"/>
        <v>0.40365352436325497</v>
      </c>
      <c r="P442" t="str">
        <f t="shared" si="46"/>
        <v>November</v>
      </c>
      <c r="Q442" t="str">
        <f t="shared" si="47"/>
        <v>Q4</v>
      </c>
      <c r="R442" t="str">
        <f t="shared" si="48"/>
        <v>High</v>
      </c>
    </row>
    <row r="443" spans="1:18" x14ac:dyDescent="0.3">
      <c r="A443" s="6" t="s">
        <v>651</v>
      </c>
      <c r="B443" s="7">
        <v>46019</v>
      </c>
      <c r="C443" s="6" t="s">
        <v>72</v>
      </c>
      <c r="D443" s="6" t="s">
        <v>21</v>
      </c>
      <c r="E443" s="6" t="s">
        <v>46</v>
      </c>
      <c r="F443" s="6" t="s">
        <v>47</v>
      </c>
      <c r="G443" s="6" t="s">
        <v>57</v>
      </c>
      <c r="H443" s="6">
        <v>8</v>
      </c>
      <c r="I443" s="8">
        <v>1196.7</v>
      </c>
      <c r="J443" s="8">
        <v>820.89</v>
      </c>
      <c r="K443" s="6" t="s">
        <v>25</v>
      </c>
      <c r="L443" s="9">
        <f t="shared" si="42"/>
        <v>9573.6</v>
      </c>
      <c r="M443" s="10">
        <f t="shared" si="43"/>
        <v>6567.12</v>
      </c>
      <c r="N443" s="10">
        <f t="shared" si="44"/>
        <v>3006.4800000000005</v>
      </c>
      <c r="O443" s="11">
        <f t="shared" si="45"/>
        <v>0.31403860616695917</v>
      </c>
      <c r="P443" t="str">
        <f t="shared" si="46"/>
        <v>December</v>
      </c>
      <c r="Q443" t="str">
        <f t="shared" si="47"/>
        <v>Q4</v>
      </c>
      <c r="R443" t="str">
        <f t="shared" si="48"/>
        <v>Low</v>
      </c>
    </row>
    <row r="444" spans="1:18" x14ac:dyDescent="0.3">
      <c r="A444" s="6" t="s">
        <v>652</v>
      </c>
      <c r="B444" s="7">
        <v>45741</v>
      </c>
      <c r="C444" s="6" t="s">
        <v>249</v>
      </c>
      <c r="D444" s="6" t="s">
        <v>28</v>
      </c>
      <c r="E444" s="6" t="s">
        <v>46</v>
      </c>
      <c r="F444" s="6" t="s">
        <v>85</v>
      </c>
      <c r="G444" s="6" t="s">
        <v>65</v>
      </c>
      <c r="H444" s="6">
        <v>8</v>
      </c>
      <c r="I444" s="8">
        <v>637.19000000000005</v>
      </c>
      <c r="J444" s="8">
        <v>411.06</v>
      </c>
      <c r="K444" s="6" t="s">
        <v>25</v>
      </c>
      <c r="L444" s="9">
        <f t="shared" si="42"/>
        <v>5097.5200000000004</v>
      </c>
      <c r="M444" s="10">
        <f t="shared" si="43"/>
        <v>3288.48</v>
      </c>
      <c r="N444" s="10">
        <f t="shared" si="44"/>
        <v>1809.0400000000004</v>
      </c>
      <c r="O444" s="11">
        <f t="shared" si="45"/>
        <v>0.3548862976506223</v>
      </c>
      <c r="P444" t="str">
        <f t="shared" si="46"/>
        <v>March</v>
      </c>
      <c r="Q444" t="str">
        <f t="shared" si="47"/>
        <v>Q1</v>
      </c>
      <c r="R444" t="str">
        <f t="shared" si="48"/>
        <v>Low</v>
      </c>
    </row>
    <row r="445" spans="1:18" x14ac:dyDescent="0.3">
      <c r="A445" s="6" t="s">
        <v>653</v>
      </c>
      <c r="B445" s="7">
        <v>45671</v>
      </c>
      <c r="C445" s="6" t="s">
        <v>326</v>
      </c>
      <c r="D445" s="6" t="s">
        <v>28</v>
      </c>
      <c r="E445" s="6" t="s">
        <v>29</v>
      </c>
      <c r="F445" s="6" t="s">
        <v>30</v>
      </c>
      <c r="G445" s="6" t="s">
        <v>57</v>
      </c>
      <c r="H445" s="6">
        <v>15</v>
      </c>
      <c r="I445" s="8">
        <v>836.95</v>
      </c>
      <c r="J445" s="8">
        <v>550.97</v>
      </c>
      <c r="K445" s="6" t="s">
        <v>32</v>
      </c>
      <c r="L445" s="9">
        <f t="shared" si="42"/>
        <v>12554.25</v>
      </c>
      <c r="M445" s="10">
        <f t="shared" si="43"/>
        <v>8264.5500000000011</v>
      </c>
      <c r="N445" s="10">
        <f t="shared" si="44"/>
        <v>4289.6999999999989</v>
      </c>
      <c r="O445" s="11">
        <f t="shared" si="45"/>
        <v>0.34169305215365303</v>
      </c>
      <c r="P445" t="str">
        <f t="shared" si="46"/>
        <v>January</v>
      </c>
      <c r="Q445" t="str">
        <f t="shared" si="47"/>
        <v>Q1</v>
      </c>
      <c r="R445" t="str">
        <f t="shared" si="48"/>
        <v>High</v>
      </c>
    </row>
    <row r="446" spans="1:18" x14ac:dyDescent="0.3">
      <c r="A446" s="6" t="s">
        <v>654</v>
      </c>
      <c r="B446" s="7">
        <v>45934</v>
      </c>
      <c r="C446" s="6" t="s">
        <v>164</v>
      </c>
      <c r="D446" s="6" t="s">
        <v>28</v>
      </c>
      <c r="E446" s="6" t="s">
        <v>22</v>
      </c>
      <c r="F446" s="6" t="s">
        <v>23</v>
      </c>
      <c r="G446" s="6" t="s">
        <v>60</v>
      </c>
      <c r="H446" s="6">
        <v>4</v>
      </c>
      <c r="I446" s="8">
        <v>93.45</v>
      </c>
      <c r="J446" s="8">
        <v>50.78</v>
      </c>
      <c r="K446" s="6" t="s">
        <v>41</v>
      </c>
      <c r="L446" s="9">
        <f t="shared" si="42"/>
        <v>373.8</v>
      </c>
      <c r="M446" s="10">
        <f t="shared" si="43"/>
        <v>203.12</v>
      </c>
      <c r="N446" s="10">
        <f t="shared" si="44"/>
        <v>170.68</v>
      </c>
      <c r="O446" s="11">
        <f t="shared" si="45"/>
        <v>0.45660781166399145</v>
      </c>
      <c r="P446" t="str">
        <f t="shared" si="46"/>
        <v>October</v>
      </c>
      <c r="Q446" t="str">
        <f t="shared" si="47"/>
        <v>Q4</v>
      </c>
      <c r="R446" t="str">
        <f t="shared" si="48"/>
        <v>Low</v>
      </c>
    </row>
    <row r="447" spans="1:18" x14ac:dyDescent="0.3">
      <c r="A447" s="6" t="s">
        <v>655</v>
      </c>
      <c r="B447" s="7">
        <v>45785</v>
      </c>
      <c r="C447" s="6" t="s">
        <v>377</v>
      </c>
      <c r="D447" s="6" t="s">
        <v>38</v>
      </c>
      <c r="E447" s="6" t="s">
        <v>29</v>
      </c>
      <c r="F447" s="6" t="s">
        <v>39</v>
      </c>
      <c r="G447" s="6" t="s">
        <v>31</v>
      </c>
      <c r="H447" s="6">
        <v>18</v>
      </c>
      <c r="I447" s="8">
        <v>1124.99</v>
      </c>
      <c r="J447" s="8">
        <v>892.89</v>
      </c>
      <c r="K447" s="6" t="s">
        <v>32</v>
      </c>
      <c r="L447" s="9">
        <f t="shared" si="42"/>
        <v>20249.82</v>
      </c>
      <c r="M447" s="10">
        <f t="shared" si="43"/>
        <v>16072.02</v>
      </c>
      <c r="N447" s="10">
        <f t="shared" si="44"/>
        <v>4177.7999999999993</v>
      </c>
      <c r="O447" s="11">
        <f t="shared" si="45"/>
        <v>0.20631294500395556</v>
      </c>
      <c r="P447" t="str">
        <f t="shared" si="46"/>
        <v>May</v>
      </c>
      <c r="Q447" t="str">
        <f t="shared" si="47"/>
        <v>Q2</v>
      </c>
      <c r="R447" t="str">
        <f t="shared" si="48"/>
        <v>High</v>
      </c>
    </row>
    <row r="448" spans="1:18" x14ac:dyDescent="0.3">
      <c r="A448" s="6" t="s">
        <v>656</v>
      </c>
      <c r="B448" s="7">
        <v>45910</v>
      </c>
      <c r="C448" s="6" t="s">
        <v>560</v>
      </c>
      <c r="D448" s="6" t="s">
        <v>28</v>
      </c>
      <c r="E448" s="6" t="s">
        <v>22</v>
      </c>
      <c r="F448" s="6" t="s">
        <v>68</v>
      </c>
      <c r="G448" s="6" t="s">
        <v>57</v>
      </c>
      <c r="H448" s="6">
        <v>4</v>
      </c>
      <c r="I448" s="8">
        <v>61.69</v>
      </c>
      <c r="J448" s="8">
        <v>42.45</v>
      </c>
      <c r="K448" s="6" t="s">
        <v>41</v>
      </c>
      <c r="L448" s="9">
        <f t="shared" si="42"/>
        <v>246.76</v>
      </c>
      <c r="M448" s="10">
        <f t="shared" si="43"/>
        <v>169.8</v>
      </c>
      <c r="N448" s="10">
        <f t="shared" si="44"/>
        <v>76.95999999999998</v>
      </c>
      <c r="O448" s="11">
        <f t="shared" si="45"/>
        <v>0.31188199059815197</v>
      </c>
      <c r="P448" t="str">
        <f t="shared" si="46"/>
        <v>September</v>
      </c>
      <c r="Q448" t="str">
        <f t="shared" si="47"/>
        <v>Q3</v>
      </c>
      <c r="R448" t="str">
        <f t="shared" si="48"/>
        <v>Low</v>
      </c>
    </row>
    <row r="449" spans="1:18" x14ac:dyDescent="0.3">
      <c r="A449" s="6" t="s">
        <v>657</v>
      </c>
      <c r="B449" s="7">
        <v>45933</v>
      </c>
      <c r="C449" s="6" t="s">
        <v>568</v>
      </c>
      <c r="D449" s="6" t="s">
        <v>28</v>
      </c>
      <c r="E449" s="6" t="s">
        <v>22</v>
      </c>
      <c r="F449" s="6" t="s">
        <v>56</v>
      </c>
      <c r="G449" s="6" t="s">
        <v>60</v>
      </c>
      <c r="H449" s="6">
        <v>9</v>
      </c>
      <c r="I449" s="8">
        <v>1119.8599999999999</v>
      </c>
      <c r="J449" s="8">
        <v>784.5</v>
      </c>
      <c r="K449" s="6" t="s">
        <v>41</v>
      </c>
      <c r="L449" s="9">
        <f t="shared" si="42"/>
        <v>10078.74</v>
      </c>
      <c r="M449" s="10">
        <f t="shared" si="43"/>
        <v>7060.5</v>
      </c>
      <c r="N449" s="10">
        <f t="shared" si="44"/>
        <v>3018.24</v>
      </c>
      <c r="O449" s="11">
        <f t="shared" si="45"/>
        <v>0.29946600467915629</v>
      </c>
      <c r="P449" t="str">
        <f t="shared" si="46"/>
        <v>October</v>
      </c>
      <c r="Q449" t="str">
        <f t="shared" si="47"/>
        <v>Q4</v>
      </c>
      <c r="R449" t="str">
        <f t="shared" si="48"/>
        <v>High</v>
      </c>
    </row>
    <row r="450" spans="1:18" x14ac:dyDescent="0.3">
      <c r="A450" s="6" t="s">
        <v>658</v>
      </c>
      <c r="B450" s="7">
        <v>45674</v>
      </c>
      <c r="C450" s="6" t="s">
        <v>235</v>
      </c>
      <c r="D450" s="6" t="s">
        <v>55</v>
      </c>
      <c r="E450" s="6" t="s">
        <v>22</v>
      </c>
      <c r="F450" s="6" t="s">
        <v>23</v>
      </c>
      <c r="G450" s="6" t="s">
        <v>57</v>
      </c>
      <c r="H450" s="6">
        <v>3</v>
      </c>
      <c r="I450" s="8">
        <v>723.62</v>
      </c>
      <c r="J450" s="8">
        <v>455.8</v>
      </c>
      <c r="K450" s="6" t="s">
        <v>41</v>
      </c>
      <c r="L450" s="9">
        <f t="shared" si="42"/>
        <v>2170.86</v>
      </c>
      <c r="M450" s="10">
        <f t="shared" si="43"/>
        <v>1367.4</v>
      </c>
      <c r="N450" s="10">
        <f t="shared" si="44"/>
        <v>803.46</v>
      </c>
      <c r="O450" s="11">
        <f t="shared" si="45"/>
        <v>0.37011138442829111</v>
      </c>
      <c r="P450" t="str">
        <f t="shared" si="46"/>
        <v>January</v>
      </c>
      <c r="Q450" t="str">
        <f t="shared" si="47"/>
        <v>Q1</v>
      </c>
      <c r="R450" t="str">
        <f t="shared" si="48"/>
        <v>Low</v>
      </c>
    </row>
    <row r="451" spans="1:18" x14ac:dyDescent="0.3">
      <c r="A451" s="6" t="s">
        <v>659</v>
      </c>
      <c r="B451" s="7">
        <v>45925</v>
      </c>
      <c r="C451" s="6" t="s">
        <v>397</v>
      </c>
      <c r="D451" s="6" t="s">
        <v>28</v>
      </c>
      <c r="E451" s="6" t="s">
        <v>29</v>
      </c>
      <c r="F451" s="6" t="s">
        <v>39</v>
      </c>
      <c r="G451" s="6" t="s">
        <v>31</v>
      </c>
      <c r="H451" s="6">
        <v>9</v>
      </c>
      <c r="I451" s="8">
        <v>402.39</v>
      </c>
      <c r="J451" s="8">
        <v>227.2</v>
      </c>
      <c r="K451" s="6" t="s">
        <v>41</v>
      </c>
      <c r="L451" s="9">
        <f t="shared" si="42"/>
        <v>3621.5099999999998</v>
      </c>
      <c r="M451" s="10">
        <f t="shared" si="43"/>
        <v>2044.8</v>
      </c>
      <c r="N451" s="10">
        <f t="shared" si="44"/>
        <v>1576.7099999999998</v>
      </c>
      <c r="O451" s="11">
        <f t="shared" si="45"/>
        <v>0.43537364248614524</v>
      </c>
      <c r="P451" t="str">
        <f t="shared" si="46"/>
        <v>September</v>
      </c>
      <c r="Q451" t="str">
        <f t="shared" si="47"/>
        <v>Q3</v>
      </c>
      <c r="R451" t="str">
        <f t="shared" si="48"/>
        <v>Low</v>
      </c>
    </row>
    <row r="452" spans="1:18" x14ac:dyDescent="0.3">
      <c r="A452" s="6" t="s">
        <v>660</v>
      </c>
      <c r="B452" s="7">
        <v>45832</v>
      </c>
      <c r="C452" s="6" t="s">
        <v>624</v>
      </c>
      <c r="D452" s="6" t="s">
        <v>21</v>
      </c>
      <c r="E452" s="6" t="s">
        <v>46</v>
      </c>
      <c r="F452" s="6" t="s">
        <v>47</v>
      </c>
      <c r="G452" s="6" t="s">
        <v>40</v>
      </c>
      <c r="H452" s="6">
        <v>13</v>
      </c>
      <c r="I452" s="8">
        <v>131.77000000000001</v>
      </c>
      <c r="J452" s="8">
        <v>74.73</v>
      </c>
      <c r="K452" s="6" t="s">
        <v>32</v>
      </c>
      <c r="L452" s="9">
        <f t="shared" si="42"/>
        <v>1713.0100000000002</v>
      </c>
      <c r="M452" s="10">
        <f t="shared" si="43"/>
        <v>971.49</v>
      </c>
      <c r="N452" s="10">
        <f t="shared" si="44"/>
        <v>741.52000000000021</v>
      </c>
      <c r="O452" s="11">
        <f t="shared" si="45"/>
        <v>0.43287546482507405</v>
      </c>
      <c r="P452" t="str">
        <f t="shared" si="46"/>
        <v>June</v>
      </c>
      <c r="Q452" t="str">
        <f t="shared" si="47"/>
        <v>Q2</v>
      </c>
      <c r="R452" t="str">
        <f t="shared" si="48"/>
        <v>Low</v>
      </c>
    </row>
    <row r="453" spans="1:18" x14ac:dyDescent="0.3">
      <c r="A453" s="6" t="s">
        <v>661</v>
      </c>
      <c r="B453" s="7">
        <v>45856</v>
      </c>
      <c r="C453" s="6" t="s">
        <v>341</v>
      </c>
      <c r="D453" s="6" t="s">
        <v>21</v>
      </c>
      <c r="E453" s="6" t="s">
        <v>29</v>
      </c>
      <c r="F453" s="6" t="s">
        <v>50</v>
      </c>
      <c r="G453" s="6" t="s">
        <v>57</v>
      </c>
      <c r="H453" s="6">
        <v>1</v>
      </c>
      <c r="I453" s="8">
        <v>1049.1600000000001</v>
      </c>
      <c r="J453" s="8">
        <v>906.59</v>
      </c>
      <c r="K453" s="6" t="s">
        <v>25</v>
      </c>
      <c r="L453" s="9">
        <f t="shared" si="42"/>
        <v>1049.1600000000001</v>
      </c>
      <c r="M453" s="10">
        <f t="shared" si="43"/>
        <v>906.59</v>
      </c>
      <c r="N453" s="10">
        <f t="shared" si="44"/>
        <v>142.57000000000005</v>
      </c>
      <c r="O453" s="11">
        <f t="shared" si="45"/>
        <v>0.13588966411224221</v>
      </c>
      <c r="P453" t="str">
        <f t="shared" si="46"/>
        <v>July</v>
      </c>
      <c r="Q453" t="str">
        <f t="shared" si="47"/>
        <v>Q3</v>
      </c>
      <c r="R453" t="str">
        <f t="shared" si="48"/>
        <v>Low</v>
      </c>
    </row>
    <row r="454" spans="1:18" x14ac:dyDescent="0.3">
      <c r="A454" s="6" t="s">
        <v>662</v>
      </c>
      <c r="B454" s="7">
        <v>45947</v>
      </c>
      <c r="C454" s="6" t="s">
        <v>72</v>
      </c>
      <c r="D454" s="6" t="s">
        <v>28</v>
      </c>
      <c r="E454" s="6" t="s">
        <v>46</v>
      </c>
      <c r="F454" s="6" t="s">
        <v>80</v>
      </c>
      <c r="G454" s="6" t="s">
        <v>40</v>
      </c>
      <c r="H454" s="6">
        <v>15</v>
      </c>
      <c r="I454" s="8">
        <v>105.76</v>
      </c>
      <c r="J454" s="8">
        <v>54.39</v>
      </c>
      <c r="K454" s="6" t="s">
        <v>32</v>
      </c>
      <c r="L454" s="9">
        <f t="shared" si="42"/>
        <v>1586.4</v>
      </c>
      <c r="M454" s="10">
        <f t="shared" si="43"/>
        <v>815.85</v>
      </c>
      <c r="N454" s="10">
        <f t="shared" si="44"/>
        <v>770.55000000000007</v>
      </c>
      <c r="O454" s="11">
        <f t="shared" si="45"/>
        <v>0.48572239031770048</v>
      </c>
      <c r="P454" t="str">
        <f t="shared" si="46"/>
        <v>October</v>
      </c>
      <c r="Q454" t="str">
        <f t="shared" si="47"/>
        <v>Q4</v>
      </c>
      <c r="R454" t="str">
        <f>IF(L454&gt;=10000,"High","Low")</f>
        <v>Low</v>
      </c>
    </row>
    <row r="455" spans="1:18" x14ac:dyDescent="0.3">
      <c r="A455" s="6" t="s">
        <v>663</v>
      </c>
      <c r="B455" s="7">
        <v>45899</v>
      </c>
      <c r="C455" s="6" t="s">
        <v>20</v>
      </c>
      <c r="D455" s="6" t="s">
        <v>55</v>
      </c>
      <c r="E455" s="6" t="s">
        <v>22</v>
      </c>
      <c r="F455" s="6" t="s">
        <v>68</v>
      </c>
      <c r="G455" s="6" t="s">
        <v>24</v>
      </c>
      <c r="H455" s="6">
        <v>1</v>
      </c>
      <c r="I455" s="8">
        <v>317.32</v>
      </c>
      <c r="J455" s="8">
        <v>222.72</v>
      </c>
      <c r="K455" s="6" t="s">
        <v>32</v>
      </c>
      <c r="L455" s="9">
        <f t="shared" ref="L455" si="49">H455*I455</f>
        <v>317.32</v>
      </c>
      <c r="M455" s="10">
        <f t="shared" ref="M455" si="50">H455*J455</f>
        <v>222.72</v>
      </c>
      <c r="N455" s="10">
        <f t="shared" ref="N455" si="51">L455-M455</f>
        <v>94.6</v>
      </c>
      <c r="O455" s="11">
        <f t="shared" ref="O455" si="52">N455/L455</f>
        <v>0.29812176982226141</v>
      </c>
      <c r="P455" t="str">
        <f t="shared" ref="P455" si="53">TEXT(B455,"mmmm")</f>
        <v>August</v>
      </c>
      <c r="Q455" t="str">
        <f t="shared" ref="Q455" si="54">"Q"&amp;ROUNDUP(MONTH(B455)/3,0)</f>
        <v>Q3</v>
      </c>
      <c r="R455" t="str">
        <f t="shared" ref="R455" si="55">IF(L455&gt;=10000,"High","Low")</f>
        <v>Low</v>
      </c>
    </row>
    <row r="473" spans="4:7" x14ac:dyDescent="0.3">
      <c r="G473" s="12"/>
    </row>
    <row r="478" spans="4:7" ht="18" x14ac:dyDescent="0.35">
      <c r="D478" s="13"/>
      <c r="E478" s="14"/>
    </row>
  </sheetData>
  <mergeCells count="2">
    <mergeCell ref="D1:J3"/>
    <mergeCell ref="D478:E478"/>
  </mergeCells>
  <conditionalFormatting sqref="L5:L455">
    <cfRule type="cellIs" dxfId="4" priority="4" operator="lessThan">
      <formula>500</formula>
    </cfRule>
    <cfRule type="top10" dxfId="3" priority="5" rank="10"/>
  </conditionalFormatting>
  <conditionalFormatting sqref="N5:N455">
    <cfRule type="cellIs" dxfId="2" priority="3" operator="greaterThan">
      <formula>1000</formula>
    </cfRule>
  </conditionalFormatting>
  <conditionalFormatting sqref="R6:R455">
    <cfRule type="cellIs" dxfId="1" priority="1" operator="equal">
      <formula>"Low"</formula>
    </cfRule>
    <cfRule type="cellIs" dxfId="0" priority="2" operator="equal">
      <formula>"High"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tariq.ismail92@yahoo.com</dc:creator>
  <cp:lastModifiedBy>tariq.ismail92@yahoo.com</cp:lastModifiedBy>
  <dcterms:created xsi:type="dcterms:W3CDTF">2026-08-04T11:15:47Z</dcterms:created>
  <dcterms:modified xsi:type="dcterms:W3CDTF">2026-08-04T11:17:36Z</dcterms:modified>
</cp:coreProperties>
</file>